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3411682B-96F2-4507-9B95-B9556EB58BC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150" i="1" l="1"/>
  <c r="D151" i="1"/>
  <c r="D152" i="1"/>
  <c r="D153" i="1"/>
  <c r="D154" i="1"/>
  <c r="D155" i="1"/>
  <c r="D156" i="1"/>
  <c r="D157" i="1"/>
  <c r="D158" i="1"/>
  <c r="D159" i="1"/>
  <c r="D160" i="1"/>
  <c r="D161" i="1"/>
  <c r="D149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21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8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66" i="1"/>
  <c r="D65" i="1"/>
  <c r="D44" i="1"/>
  <c r="D45" i="1"/>
  <c r="D46" i="1"/>
  <c r="D47" i="1"/>
  <c r="D48" i="1"/>
  <c r="D49" i="1"/>
  <c r="D50" i="1"/>
  <c r="D51" i="1"/>
  <c r="D52" i="1"/>
  <c r="D53" i="1"/>
  <c r="D43" i="1"/>
  <c r="D36" i="1"/>
  <c r="D37" i="1"/>
  <c r="D38" i="1"/>
  <c r="D39" i="1"/>
  <c r="D40" i="1"/>
  <c r="D41" i="1"/>
  <c r="D42" i="1"/>
  <c r="D35" i="1"/>
  <c r="D33" i="1"/>
  <c r="D34" i="1"/>
  <c r="D32" i="1"/>
</calcChain>
</file>

<file path=xl/sharedStrings.xml><?xml version="1.0" encoding="utf-8"?>
<sst xmlns="http://schemas.openxmlformats.org/spreadsheetml/2006/main" count="528" uniqueCount="332">
  <si>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</si>
  <si>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</si>
  <si>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</si>
  <si>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</si>
  <si>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</si>
  <si>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</si>
  <si>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</si>
  <si>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00018946</t>
  </si>
  <si>
    <t>Shampoo Strengthening For Thinning Hair Women 200ml</t>
  </si>
  <si>
    <t>1+1</t>
  </si>
  <si>
    <t>00019091</t>
  </si>
  <si>
    <t>Shampoo Anti-Dandruff For Dry Or Oily Flaky Scalp 200ml</t>
  </si>
  <si>
    <t>00024849</t>
  </si>
  <si>
    <t>HAIR BEAUTIFIER CONDITIONER 180ml</t>
  </si>
  <si>
    <t>00025270</t>
  </si>
  <si>
    <t>Eye Lash Treatment  6.5 ML</t>
  </si>
  <si>
    <t>00025271</t>
  </si>
  <si>
    <t>Women Nail Treatment  6.5ML</t>
  </si>
  <si>
    <t>00027644</t>
  </si>
  <si>
    <t>Original Dry Shampoo 200 ML</t>
  </si>
  <si>
    <t>00025291</t>
  </si>
  <si>
    <t>Bleach Blondes Color Love Tone Saving Conditioner 250ML</t>
  </si>
  <si>
    <t>00032576</t>
  </si>
  <si>
    <t>Cocoloco Shampoo 250 ML</t>
  </si>
  <si>
    <t>00032577</t>
  </si>
  <si>
    <t>Cocoloco Conditioner 250 ML</t>
  </si>
  <si>
    <t>00025287</t>
  </si>
  <si>
    <t>Coco Loco Coconut Spritz 150 ML</t>
  </si>
  <si>
    <t>00030475</t>
  </si>
  <si>
    <t>CocoLoco with Agave shampoo 250 ML</t>
  </si>
  <si>
    <t>00032580</t>
  </si>
  <si>
    <t>Coco loco with agave Moisture Mist 150 ML</t>
  </si>
  <si>
    <t>00032581</t>
  </si>
  <si>
    <t>CocoLoco with Agave Blow &amp; Go 11 en 1 Lotion 100ML</t>
  </si>
  <si>
    <t>00038492</t>
  </si>
  <si>
    <t>For The Love Of Curls Defining Gel (100ml)</t>
  </si>
  <si>
    <t>00033497</t>
  </si>
  <si>
    <t>For The Love Of Curls Conditioner Curls &amp; Coils (250ml)</t>
  </si>
  <si>
    <t>00033496</t>
  </si>
  <si>
    <t>For The Love Of Curls Shampoo (250ml)</t>
  </si>
  <si>
    <t>00032579</t>
  </si>
  <si>
    <t>Coco loco with agave Shine Mask 200 Ml</t>
  </si>
  <si>
    <t>00038488</t>
  </si>
  <si>
    <t>For The Love Of Curls Custard Cream (125ml)</t>
  </si>
  <si>
    <t>00038490</t>
  </si>
  <si>
    <t>For The Love Of Curls Mask (200ml)</t>
  </si>
  <si>
    <t>00038505</t>
  </si>
  <si>
    <t>For The Love Of Curls Shampoo (500ml)</t>
  </si>
  <si>
    <t>00022204</t>
  </si>
  <si>
    <t>Mousse Demaq Foaming Cleanser 150 ML</t>
  </si>
  <si>
    <t>00038422</t>
  </si>
  <si>
    <t>Uv Bronze SPF 50+ Fluid 40 ML</t>
  </si>
  <si>
    <t>00033347</t>
  </si>
  <si>
    <t>Bariederm Cica Cream 100Ml</t>
  </si>
  <si>
    <t>00025290</t>
  </si>
  <si>
    <t>Bariederm Cica Cream 40ML</t>
  </si>
  <si>
    <t>00017912</t>
  </si>
  <si>
    <t>Bariederm Lip Tube 15ML</t>
  </si>
  <si>
    <t>00014879</t>
  </si>
  <si>
    <t>Xemose Cream 200ML</t>
  </si>
  <si>
    <t>00016127</t>
  </si>
  <si>
    <t>Xemose Gentle Cleanser 200ML</t>
  </si>
  <si>
    <t>00031104</t>
  </si>
  <si>
    <t>Xemose SOS Anti-Itch Mist 200ml</t>
  </si>
  <si>
    <t>00022203</t>
  </si>
  <si>
    <t>Age Purify Clean Purifying Cleansing Gel 150ml</t>
  </si>
  <si>
    <t>00025279</t>
  </si>
  <si>
    <t>Oxygen Glow Moisturizing Cream 50ML</t>
  </si>
  <si>
    <t>00019599</t>
  </si>
  <si>
    <t>Anti-Aging Hair Rescue Shampoo 200ml</t>
  </si>
  <si>
    <t>00030494</t>
  </si>
  <si>
    <t>Shampoo Sebum Normalizing 200ml</t>
  </si>
  <si>
    <t>00024228</t>
  </si>
  <si>
    <t>Dermoprotective Shampoo for Sensitive Scalp 200ml</t>
  </si>
  <si>
    <t>00032966</t>
  </si>
  <si>
    <t>Bariesun - Invisible Spray Frag Free Spf50+ 200Ml</t>
  </si>
  <si>
    <t>00032965</t>
  </si>
  <si>
    <t>Bariesun - Mattifying Fluid Spf50+ 50 Ml</t>
  </si>
  <si>
    <t>00027645</t>
  </si>
  <si>
    <t>Bariesun Dry Mist SPF50+ 200ml</t>
  </si>
  <si>
    <t>00017236</t>
  </si>
  <si>
    <t>Bariesun Lip Stick SPF 30 - 4Gm</t>
  </si>
  <si>
    <t>00028457</t>
  </si>
  <si>
    <t>Bariesun SPF 50+ Lotion 100ML</t>
  </si>
  <si>
    <t>00016124</t>
  </si>
  <si>
    <t>Bariesun SPF50+ Fragrance Free Cream 50ML</t>
  </si>
  <si>
    <t>00032964</t>
  </si>
  <si>
    <t>Bariesun Sun Moisturizing Kids Spray Spf50+ 200 Ml</t>
  </si>
  <si>
    <t>00048778</t>
  </si>
  <si>
    <t>BARIESUN SPF50+ FLUIDE ANTI TACHE T 40ML</t>
  </si>
  <si>
    <t>00033342</t>
  </si>
  <si>
    <t>Depiderm Booster Serum F 30Ml</t>
  </si>
  <si>
    <t>00033343</t>
  </si>
  <si>
    <t>Depiderm Intensive Treatment 30Ml</t>
  </si>
  <si>
    <t>00017554</t>
  </si>
  <si>
    <t>Depiderm SPF 50 Cream 30ML</t>
  </si>
  <si>
    <t>00018813</t>
  </si>
  <si>
    <t>Depiderm White Contour Des Yeux 15ML</t>
  </si>
  <si>
    <t>00016129</t>
  </si>
  <si>
    <t>Depiderm White Mousse 100ML</t>
  </si>
  <si>
    <t>00015465</t>
  </si>
  <si>
    <t>Hyseac Cleansing Gel 150ML</t>
  </si>
  <si>
    <t>00025289</t>
  </si>
  <si>
    <t>Hyseac Cleansing Gel 500ML</t>
  </si>
  <si>
    <t>00016126</t>
  </si>
  <si>
    <t>Hyseac Fluide SPF50+  50ML</t>
  </si>
  <si>
    <t>00040444</t>
  </si>
  <si>
    <t>Hyseac Hydra Restructuring Care 40ml</t>
  </si>
  <si>
    <t>00044074</t>
  </si>
  <si>
    <t>Hyseac Purifying Toner 250ml</t>
  </si>
  <si>
    <t>00048780</t>
  </si>
  <si>
    <t>HYSEAC SERUM 30ML</t>
  </si>
  <si>
    <t>00016416</t>
  </si>
  <si>
    <t>Vitamin Barrier Cream 123 - 50 ML</t>
  </si>
  <si>
    <t>00019093</t>
  </si>
  <si>
    <t>Vitamin Barrier Cream 123 - 100 ML</t>
  </si>
  <si>
    <t>00016419</t>
  </si>
  <si>
    <t>Hydra Bebe Body Lotion 300 ML</t>
  </si>
  <si>
    <t>00030660</t>
  </si>
  <si>
    <t>Hydra Bebe Facial Cream  40 ML</t>
  </si>
  <si>
    <t>00029685</t>
  </si>
  <si>
    <t>Musti Eau Soin Delicate Fragrance 50ML</t>
  </si>
  <si>
    <t>00045056</t>
  </si>
  <si>
    <t>Mustela Stelatopia  Lipid-replenishing cream 150ML</t>
  </si>
  <si>
    <t>00030661</t>
  </si>
  <si>
    <t>Hydra Bebe Facial Cream With Cold Cream 40 ML</t>
  </si>
  <si>
    <t>00031105</t>
  </si>
  <si>
    <t>Cicastela Moisture Recovery Cream 40ML</t>
  </si>
  <si>
    <t>00031447</t>
  </si>
  <si>
    <t>Skin Freshener 200 ML</t>
  </si>
  <si>
    <t>00016418</t>
  </si>
  <si>
    <t>Baby Shampoo 200 ML</t>
  </si>
  <si>
    <t>00017234</t>
  </si>
  <si>
    <t>Nursing Comfort Balm 30 ML</t>
  </si>
  <si>
    <t>00031102</t>
  </si>
  <si>
    <t>Optim Eyes Cream for Dark Circles 15 ML</t>
  </si>
  <si>
    <t>00025789</t>
  </si>
  <si>
    <t>Spirial Anti-Transpirant Cream 50 ML</t>
  </si>
  <si>
    <t>00025790</t>
  </si>
  <si>
    <t>SVR Spirial Roll'On Treatment Anti-Transpirant 50 ml</t>
  </si>
  <si>
    <t>00025791</t>
  </si>
  <si>
    <t>Xerial 10 Moisturizer Body Milk 200ML</t>
  </si>
  <si>
    <t>00028279</t>
  </si>
  <si>
    <t>Sebiaclear Cream SPF50 - 40ML</t>
  </si>
  <si>
    <t>00028280</t>
  </si>
  <si>
    <t>Hydracid C20 Vitamin C 20% Cream 30ML</t>
  </si>
  <si>
    <t>00025793</t>
  </si>
  <si>
    <t xml:space="preserve">SPIRIAL ROLL'ON VEGETAL 50ML </t>
  </si>
  <si>
    <t>00031103</t>
  </si>
  <si>
    <t>Cicavit+ Creme Soothing Repairing Protective Anti-Mark Care 40ml</t>
  </si>
  <si>
    <t>00025795</t>
  </si>
  <si>
    <t>[A] Ampoule Lift Smoothing Concentrate 30ml</t>
  </si>
  <si>
    <t>00025796</t>
  </si>
  <si>
    <t>[B3] Ampoule Hydra Repairing Concentrate 30ml</t>
  </si>
  <si>
    <t>00025797</t>
  </si>
  <si>
    <t>[C] Ampoule Anti-Ox Radiance Concentrate 30ml</t>
  </si>
  <si>
    <t>00031654</t>
  </si>
  <si>
    <t>Clairial Serum Complete Corrector Anti-Brown Spot Radiance 30ml</t>
  </si>
  <si>
    <t>00033334</t>
  </si>
  <si>
    <t>Spirial Extreme Intensive De-Perspitant 20Ml</t>
  </si>
  <si>
    <t>00038440</t>
  </si>
  <si>
    <t>Collagen Biotic 50ml</t>
  </si>
  <si>
    <t>00033346</t>
  </si>
  <si>
    <t>Emo Topic 3In1 Wash Gel 200Ml</t>
  </si>
  <si>
    <t>00028295</t>
  </si>
  <si>
    <t>Emo Topic Creamy Body Wash Gel 400Ml</t>
  </si>
  <si>
    <t>00028296</t>
  </si>
  <si>
    <t>Emo Topic Everyday Bath Emulsion 400Ml</t>
  </si>
  <si>
    <t>00030143</t>
  </si>
  <si>
    <t>Emo Topic Hydrating And Lipid-Replenishing  Body Balm 190Ml</t>
  </si>
  <si>
    <t>00038383</t>
  </si>
  <si>
    <t>Emo Topic Lipid-Replenishing Formula 3In1  500Ml</t>
  </si>
  <si>
    <t>00028299</t>
  </si>
  <si>
    <t>Emo Topic Soothing And Softning Emollient Cream 200Ml</t>
  </si>
  <si>
    <t>00028304</t>
  </si>
  <si>
    <t>Emo Topic Special Lipid-Replenishing Cream 75Ml</t>
  </si>
  <si>
    <t>00038345</t>
  </si>
  <si>
    <t>Glyco A body peel 10% 200ml</t>
  </si>
  <si>
    <t>00017550</t>
  </si>
  <si>
    <t>Neotone Radiance SPF 50+  30ML</t>
  </si>
  <si>
    <t>00016651</t>
  </si>
  <si>
    <t>Neotone Gel whitening Cleanser 150ML</t>
  </si>
  <si>
    <t>00024227</t>
  </si>
  <si>
    <t>Neotone Body Milk 100 ML</t>
  </si>
  <si>
    <t>00018074</t>
  </si>
  <si>
    <t>Neotone Eye Cream 15 ML</t>
  </si>
  <si>
    <t>00016997</t>
  </si>
  <si>
    <t>Neotone Sensitive Baume 30 ML</t>
  </si>
  <si>
    <t>00016652</t>
  </si>
  <si>
    <t>Neotone Serum for Dark spots 30ML</t>
  </si>
  <si>
    <t>00040572</t>
  </si>
  <si>
    <t>Ruboril Soothing Melting Cleansing Balm 100 ML</t>
  </si>
  <si>
    <t>00040573</t>
  </si>
  <si>
    <t>Metroruboril A.Z  - Anti-redness Cream 30 ML</t>
  </si>
  <si>
    <t>00038350</t>
  </si>
  <si>
    <t>Secalia ATO Soothing, lipid-restoring Balm - 200 ML</t>
  </si>
  <si>
    <t>00038353</t>
  </si>
  <si>
    <t>Secalia ATO Shower Barrier Effect Cleansing Care - 400 ML</t>
  </si>
  <si>
    <t>00038371</t>
  </si>
  <si>
    <t>Secalia Body Lotion -  Ultra-comfort nourishing milk - 200 ML</t>
  </si>
  <si>
    <t>00038361</t>
  </si>
  <si>
    <t>Secalia Body Lotion -  Ultra-comfort nourishing milk - 400 ML</t>
  </si>
  <si>
    <t>00047216</t>
  </si>
  <si>
    <t>Secalia Face Cream - Ultra-comfort nourishing cream - 40 ML</t>
  </si>
  <si>
    <t>00040571</t>
  </si>
  <si>
    <t>Sensylia 24-hr Fortifying Moisturizing Fluid - 40ML</t>
  </si>
  <si>
    <t>00016647</t>
  </si>
  <si>
    <t>Teen Derm Gel Cleanser for Oily Skin 150ML</t>
  </si>
  <si>
    <t>00016649</t>
  </si>
  <si>
    <t>Teen Derm Hydra  40ML</t>
  </si>
  <si>
    <t>00023799</t>
  </si>
  <si>
    <t>Teen Derm Gel Sensitive 250ML</t>
  </si>
  <si>
    <t>00038480</t>
  </si>
  <si>
    <t>Teen Derm AZ 30ML</t>
  </si>
  <si>
    <t>00016648</t>
  </si>
  <si>
    <t>Urelia 10 Body Moisturizer  Lotion 150ML</t>
  </si>
  <si>
    <t>00016650</t>
  </si>
  <si>
    <t>Urelia Gel Cleanser for Face and Body 200ML</t>
  </si>
  <si>
    <t>00016360</t>
  </si>
  <si>
    <t>Uveblock 50+ Invisible Fluid 40ML</t>
  </si>
  <si>
    <t>00017000</t>
  </si>
  <si>
    <t>Uveblock SPF 50+ Body Lotion 100 ML</t>
  </si>
  <si>
    <t>00017001</t>
  </si>
  <si>
    <t>Uveblock SPF 50+ Invisible Cream 40 ML</t>
  </si>
  <si>
    <t>00025798</t>
  </si>
  <si>
    <t>Uveblock spf 50 dry touch oily prone skin 40 ml</t>
  </si>
  <si>
    <t>00038374</t>
  </si>
  <si>
    <t>Uveblock SPF50+ Very High Protection Spray - 200ml</t>
  </si>
  <si>
    <t>00038372</t>
  </si>
  <si>
    <t>Uveblock SPF50+ Very high protection spray for  Kids - 200ml</t>
  </si>
  <si>
    <t>00017551</t>
  </si>
  <si>
    <t>Vitiskin Skin tone Unifying for Vitiligo 50 ML</t>
  </si>
  <si>
    <t>00048779</t>
  </si>
  <si>
    <t>Ha Booster Serum 30 Ml</t>
  </si>
  <si>
    <t>00016993</t>
  </si>
  <si>
    <t>Hand Moisturizer Cream 50ML</t>
  </si>
  <si>
    <t>00016644</t>
  </si>
  <si>
    <t>Lip Moisturizer 4Gm</t>
  </si>
  <si>
    <t>00016991</t>
  </si>
  <si>
    <t>Thermal Water 150ML</t>
  </si>
  <si>
    <t>00030468</t>
  </si>
  <si>
    <t>D.S. Lotion Spray 100ML</t>
  </si>
  <si>
    <t>00030469</t>
  </si>
  <si>
    <t>Ds. Hair Kerato-Reducing Shampoo for Heavy dandruff 150ML</t>
  </si>
  <si>
    <t>00017235</t>
  </si>
  <si>
    <t>Ds. Hair Soft Balancing Shampoo for Dandruff 200ML</t>
  </si>
  <si>
    <t>00028282</t>
  </si>
  <si>
    <t>Sun Secure Blur 50+ - 50ML</t>
  </si>
  <si>
    <t>00026804</t>
  </si>
  <si>
    <t>Sun Secure Fluid SPF+50 - 50ML</t>
  </si>
  <si>
    <t>00028284</t>
  </si>
  <si>
    <t>Spirial Deodorant Douche shower Gel 200ML</t>
  </si>
  <si>
    <t>00025792</t>
  </si>
  <si>
    <t>Spirial Deodorant Spray 75ML</t>
  </si>
  <si>
    <t>00028285</t>
  </si>
  <si>
    <t>Allergic &amp; Sensitive A&amp;E-Sensilix Duo Concentrate 30Ml</t>
  </si>
  <si>
    <t>00028286</t>
  </si>
  <si>
    <t>Allergic &amp; Sensitive Hyaluro-Sensilium Cream 40Ml</t>
  </si>
  <si>
    <t>00047456</t>
  </si>
  <si>
    <t>Allergic &amp; Sensitive Medic-Protection Cream Spf 100+ 75Ml</t>
  </si>
  <si>
    <t>00030140</t>
  </si>
  <si>
    <t>Allergic &amp; Sensitive Prebio-Sensilique Micellar Solution 200Ml</t>
  </si>
  <si>
    <t>00028287</t>
  </si>
  <si>
    <t>Allergic &amp; Sensitive Puri-Sensilium Soothing Foam 150Ml</t>
  </si>
  <si>
    <t>00030142</t>
  </si>
  <si>
    <t>Allergic &amp; Sensitive Vita-Sensilium Moisturizing Cream Spf 20 50Ml</t>
  </si>
  <si>
    <t>00038387</t>
  </si>
  <si>
    <t>H-Keratineum Strengthening Shampoo 250Ml</t>
  </si>
  <si>
    <t>00028306</t>
  </si>
  <si>
    <t>H-Sebopurin Normalizing Shampoo 250Ml</t>
  </si>
  <si>
    <t>00028312</t>
  </si>
  <si>
    <t>H-Stimuforten Hair Growth Treatment 125Ml</t>
  </si>
  <si>
    <t>00038388</t>
  </si>
  <si>
    <t>H-Stimulinum Hair Growth Conditioner 150Ml</t>
  </si>
  <si>
    <t>00038393</t>
  </si>
  <si>
    <t>H-Stimupeel Trichology Cleansing Peel 125Ml</t>
  </si>
  <si>
    <t>00028313</t>
  </si>
  <si>
    <t>H-Stimupurin Hair Growth Shampoo 250Ml</t>
  </si>
  <si>
    <t>00038501</t>
  </si>
  <si>
    <t>Protective-Corrective Fluid Foundation Spf50 01 Ivory 30 Ml</t>
  </si>
  <si>
    <t>00038503</t>
  </si>
  <si>
    <t>Protective-Corrective Fluid Foundation  Spf50 02 Sand  30 Ml</t>
  </si>
  <si>
    <t>00038396</t>
  </si>
  <si>
    <t>Specialist Anti-Dandruff Shampoo For Dry And Oily Dandruff  H-Purin Special 250 Ml</t>
  </si>
  <si>
    <t>00040445</t>
  </si>
  <si>
    <t>Maternity Tocoreducttm Forte Stretch Mark Balm 75Ml</t>
  </si>
  <si>
    <t>00028316</t>
  </si>
  <si>
    <t>T-Zone Puri-Sebogel Antibacterial Gel Wash 190Ml</t>
  </si>
  <si>
    <t>00030148</t>
  </si>
  <si>
    <t>T-Zone Puri-Sebostatic Deeply Cleansing Foam 150Ml</t>
  </si>
  <si>
    <t>00048239</t>
  </si>
  <si>
    <t>Comedo Acne 40 Ml</t>
  </si>
  <si>
    <t>00047472</t>
  </si>
  <si>
    <t>Medi Acne-Pointgel Spot Treatment Gel 10 Ml</t>
  </si>
  <si>
    <t>00028318</t>
  </si>
  <si>
    <t>Whitening Albucin Triple Action Skin Lightening  Day Cream Spf 50+ 30Ml</t>
  </si>
  <si>
    <t>00028319</t>
  </si>
  <si>
    <t>Whitening Albucin-C Whitening Active Concentrate 5% Vitamin C 30Ml</t>
  </si>
  <si>
    <t>00028320</t>
  </si>
  <si>
    <t>Whitening Albucin-Intensive Intensive Skin Lightening  Night Cream 30Ml</t>
  </si>
  <si>
    <t>00028321</t>
  </si>
  <si>
    <t>Whitening Opti-Albucin Anti-Dark Circles Eye Cream Spf 15 15Ml</t>
  </si>
  <si>
    <t>00040441</t>
  </si>
  <si>
    <t>Aqua Bee-licious Comfort Hydrating Cream 40ml</t>
  </si>
  <si>
    <t>00040442</t>
  </si>
  <si>
    <t>Aqua Bee-licious Cooling Hydrating Eye Gel 15ml</t>
  </si>
  <si>
    <t>00040443</t>
  </si>
  <si>
    <t>Aqua Bee-licious Refreshing Hydrating Booster 30ml</t>
  </si>
  <si>
    <t>00030493</t>
  </si>
  <si>
    <t>Hair Loss Treatment Ampoules for Men  12 Amp * 6 ML</t>
  </si>
  <si>
    <t>00018947</t>
  </si>
  <si>
    <t>Hair Loss Treatment Ampoules for Women  12 Amp * 6 ML</t>
  </si>
  <si>
    <t>00026387</t>
  </si>
  <si>
    <t>Hair Loss Treatment Ampoules for Men 24 Amp Value pack</t>
  </si>
  <si>
    <t>00026388</t>
  </si>
  <si>
    <t>Hair Loss Treatment Ampoules for Women 24 Amp Value pack</t>
  </si>
  <si>
    <t>00016981</t>
  </si>
  <si>
    <t>NCEF Reverse Multi Correction Cream 50 ML</t>
  </si>
  <si>
    <t>00029738</t>
  </si>
  <si>
    <t>Sun Broad Spectrum Sun Protection Cream Spf 50+ 50Ml</t>
  </si>
  <si>
    <t>00030145</t>
  </si>
  <si>
    <t>Sun Medi Acne Protect Spf 50+ Cream 50Ml</t>
  </si>
  <si>
    <t>00038499</t>
  </si>
  <si>
    <t>Sun Safe Protective Face Cream For Children Spf 50+ 50Ml</t>
  </si>
  <si>
    <t>00038500</t>
  </si>
  <si>
    <t>Cica Intensive After Sun  200 Ml</t>
  </si>
  <si>
    <t>00038504</t>
  </si>
  <si>
    <t>Sensi Protect Daily Protective Lotion   Spf 50+  50Ml</t>
  </si>
  <si>
    <t>كمية</t>
  </si>
  <si>
    <t>حبتين</t>
  </si>
  <si>
    <t>1+2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</si>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</sst>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rightToLeft="1" tabSelected="1" topLeftCell="A122" workbookViewId="0">
      <selection activeCell="A154" sqref="A154"/>
    </sheetView>
  </sheetViews>
  <sheetFormatPr defaultRowHeight="15.75" x14ac:dyDescent="0.25"/>
  <cols>
    <col min="1" max="1" width="9" style="1"/>
    <col min="2" max="2" width="7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92</v>
      </c>
      <c r="D2" s="3" t="s">
        <v>9</v>
      </c>
      <c r="E2" s="4">
        <v>46270</v>
      </c>
      <c r="F2" s="4">
        <v>46254</v>
      </c>
      <c r="G2" s="1" t="s">
        <v>328</v>
      </c>
    </row>
    <row r="3" spans="1:7" x14ac:dyDescent="0.25">
      <c r="A3" s="1" t="s">
        <v>10</v>
      </c>
      <c r="B3" s="2" t="s">
        <v>11</v>
      </c>
      <c r="C3" s="3">
        <v>92</v>
      </c>
      <c r="D3" s="3" t="s">
        <v>9</v>
      </c>
      <c r="E3" s="4">
        <v>46270</v>
      </c>
      <c r="F3" s="4">
        <v>46254</v>
      </c>
      <c r="G3" s="1" t="s">
        <v>328</v>
      </c>
    </row>
    <row r="4" spans="1:7" x14ac:dyDescent="0.25">
      <c r="A4" s="1" t="s">
        <v>12</v>
      </c>
      <c r="B4" s="2" t="s">
        <v>13</v>
      </c>
      <c r="C4" s="3">
        <v>92</v>
      </c>
      <c r="D4" s="3" t="s">
        <v>9</v>
      </c>
      <c r="E4" s="4">
        <v>46270</v>
      </c>
      <c r="F4" s="4">
        <v>46254</v>
      </c>
      <c r="G4" s="1" t="s">
        <v>328</v>
      </c>
    </row>
    <row r="5" spans="1:7" x14ac:dyDescent="0.25">
      <c r="A5" s="1" t="s">
        <v>14</v>
      </c>
      <c r="B5" s="2" t="s">
        <v>15</v>
      </c>
      <c r="C5" s="3">
        <v>128.80000000000001</v>
      </c>
      <c r="D5" s="3" t="s">
        <v>9</v>
      </c>
      <c r="E5" s="4">
        <v>46270</v>
      </c>
      <c r="F5" s="4">
        <v>46254</v>
      </c>
      <c r="G5" s="1" t="s">
        <v>328</v>
      </c>
    </row>
    <row r="6" spans="1:7" x14ac:dyDescent="0.25">
      <c r="A6" s="1" t="s">
        <v>16</v>
      </c>
      <c r="B6" s="2" t="s">
        <v>17</v>
      </c>
      <c r="C6" s="3">
        <v>121.4975</v>
      </c>
      <c r="D6" s="3" t="s">
        <v>9</v>
      </c>
      <c r="E6" s="4">
        <v>46270</v>
      </c>
      <c r="F6" s="4">
        <v>46254</v>
      </c>
      <c r="G6" s="1" t="s">
        <v>328</v>
      </c>
    </row>
    <row r="7" spans="1:7" x14ac:dyDescent="0.25">
      <c r="A7" s="1" t="s">
        <v>18</v>
      </c>
      <c r="B7" s="2" t="s">
        <v>19</v>
      </c>
      <c r="C7" s="3">
        <v>49.45</v>
      </c>
      <c r="D7" s="3" t="s">
        <v>9</v>
      </c>
      <c r="E7" s="4">
        <v>46270</v>
      </c>
      <c r="F7" s="4">
        <v>46254</v>
      </c>
      <c r="G7" s="1" t="s">
        <v>328</v>
      </c>
    </row>
    <row r="8" spans="1:7" x14ac:dyDescent="0.25">
      <c r="A8" s="1" t="s">
        <v>20</v>
      </c>
      <c r="B8" s="2" t="s">
        <v>21</v>
      </c>
      <c r="C8" s="3">
        <v>59.8</v>
      </c>
      <c r="D8" s="3" t="s">
        <v>9</v>
      </c>
      <c r="E8" s="4">
        <v>46270</v>
      </c>
      <c r="F8" s="4">
        <v>46254</v>
      </c>
      <c r="G8" s="1" t="s">
        <v>328</v>
      </c>
    </row>
    <row r="9" spans="1:7" x14ac:dyDescent="0.25">
      <c r="A9" s="1" t="s">
        <v>22</v>
      </c>
      <c r="B9" s="2" t="s">
        <v>23</v>
      </c>
      <c r="C9" s="3">
        <v>54.193750000000001</v>
      </c>
      <c r="D9" s="3" t="s">
        <v>9</v>
      </c>
      <c r="E9" s="4">
        <v>46270</v>
      </c>
      <c r="F9" s="4">
        <v>46254</v>
      </c>
      <c r="G9" s="1" t="s">
        <v>328</v>
      </c>
    </row>
    <row r="10" spans="1:7" x14ac:dyDescent="0.25">
      <c r="A10" s="1" t="s">
        <v>24</v>
      </c>
      <c r="B10" s="2" t="s">
        <v>25</v>
      </c>
      <c r="C10" s="3">
        <v>54.193750000000001</v>
      </c>
      <c r="D10" s="3" t="s">
        <v>9</v>
      </c>
      <c r="E10" s="4">
        <v>46270</v>
      </c>
      <c r="F10" s="4">
        <v>46254</v>
      </c>
      <c r="G10" s="1" t="s">
        <v>328</v>
      </c>
    </row>
    <row r="11" spans="1:7" x14ac:dyDescent="0.25">
      <c r="A11" s="1" t="s">
        <v>26</v>
      </c>
      <c r="B11" s="2" t="s">
        <v>27</v>
      </c>
      <c r="C11" s="3">
        <v>52.9</v>
      </c>
      <c r="D11" s="3" t="s">
        <v>9</v>
      </c>
      <c r="E11" s="4">
        <v>46270</v>
      </c>
      <c r="F11" s="4">
        <v>46254</v>
      </c>
      <c r="G11" s="1" t="s">
        <v>328</v>
      </c>
    </row>
    <row r="12" spans="1:7" x14ac:dyDescent="0.25">
      <c r="A12" s="1" t="s">
        <v>28</v>
      </c>
      <c r="B12" s="2" t="s">
        <v>29</v>
      </c>
      <c r="C12" s="3">
        <v>54.193750000000001</v>
      </c>
      <c r="D12" s="3" t="s">
        <v>9</v>
      </c>
      <c r="E12" s="4">
        <v>46270</v>
      </c>
      <c r="F12" s="4">
        <v>46254</v>
      </c>
      <c r="G12" s="1" t="s">
        <v>328</v>
      </c>
    </row>
    <row r="13" spans="1:7" x14ac:dyDescent="0.25">
      <c r="A13" s="1" t="s">
        <v>30</v>
      </c>
      <c r="B13" s="2" t="s">
        <v>31</v>
      </c>
      <c r="C13" s="3">
        <v>54.193750000000001</v>
      </c>
      <c r="D13" s="3" t="s">
        <v>9</v>
      </c>
      <c r="E13" s="4">
        <v>46270</v>
      </c>
      <c r="F13" s="4">
        <v>46254</v>
      </c>
      <c r="G13" s="1" t="s">
        <v>328</v>
      </c>
    </row>
    <row r="14" spans="1:7" x14ac:dyDescent="0.25">
      <c r="A14" s="1" t="s">
        <v>32</v>
      </c>
      <c r="B14" s="2" t="s">
        <v>33</v>
      </c>
      <c r="C14" s="3">
        <v>55.2</v>
      </c>
      <c r="D14" s="3" t="s">
        <v>9</v>
      </c>
      <c r="E14" s="4">
        <v>46270</v>
      </c>
      <c r="F14" s="4">
        <v>46254</v>
      </c>
      <c r="G14" s="1" t="s">
        <v>328</v>
      </c>
    </row>
    <row r="15" spans="1:7" x14ac:dyDescent="0.25">
      <c r="A15" s="1" t="s">
        <v>34</v>
      </c>
      <c r="B15" s="2" t="s">
        <v>35</v>
      </c>
      <c r="C15" s="3">
        <v>65.435000000000002</v>
      </c>
      <c r="D15" s="3" t="s">
        <v>9</v>
      </c>
      <c r="E15" s="4">
        <v>46270</v>
      </c>
      <c r="F15" s="4">
        <v>46254</v>
      </c>
      <c r="G15" s="1" t="s">
        <v>328</v>
      </c>
    </row>
    <row r="16" spans="1:7" x14ac:dyDescent="0.25">
      <c r="A16" s="1" t="s">
        <v>36</v>
      </c>
      <c r="B16" s="2" t="s">
        <v>37</v>
      </c>
      <c r="C16" s="3">
        <v>65.435000000000002</v>
      </c>
      <c r="D16" s="3" t="s">
        <v>9</v>
      </c>
      <c r="E16" s="4">
        <v>46270</v>
      </c>
      <c r="F16" s="4">
        <v>46254</v>
      </c>
      <c r="G16" s="1" t="s">
        <v>328</v>
      </c>
    </row>
    <row r="17" spans="1:7" x14ac:dyDescent="0.25">
      <c r="A17" s="1" t="s">
        <v>38</v>
      </c>
      <c r="B17" s="2" t="s">
        <v>39</v>
      </c>
      <c r="C17" s="3">
        <v>65.435000000000002</v>
      </c>
      <c r="D17" s="3" t="s">
        <v>9</v>
      </c>
      <c r="E17" s="4">
        <v>46270</v>
      </c>
      <c r="F17" s="4">
        <v>46254</v>
      </c>
      <c r="G17" s="1" t="s">
        <v>328</v>
      </c>
    </row>
    <row r="18" spans="1:7" x14ac:dyDescent="0.25">
      <c r="A18" s="1" t="s">
        <v>40</v>
      </c>
      <c r="B18" s="2" t="s">
        <v>41</v>
      </c>
      <c r="C18" s="3">
        <v>65.55</v>
      </c>
      <c r="D18" s="3" t="s">
        <v>9</v>
      </c>
      <c r="E18" s="4">
        <v>46270</v>
      </c>
      <c r="F18" s="4">
        <v>46254</v>
      </c>
      <c r="G18" s="1" t="s">
        <v>328</v>
      </c>
    </row>
    <row r="19" spans="1:7" x14ac:dyDescent="0.25">
      <c r="A19" s="1" t="s">
        <v>42</v>
      </c>
      <c r="B19" s="2" t="s">
        <v>43</v>
      </c>
      <c r="C19" s="3">
        <v>65.435000000000002</v>
      </c>
      <c r="D19" s="3" t="s">
        <v>9</v>
      </c>
      <c r="E19" s="4">
        <v>46270</v>
      </c>
      <c r="F19" s="4">
        <v>46254</v>
      </c>
      <c r="G19" s="1" t="s">
        <v>328</v>
      </c>
    </row>
    <row r="20" spans="1:7" x14ac:dyDescent="0.25">
      <c r="A20" s="1" t="s">
        <v>44</v>
      </c>
      <c r="B20" s="2" t="s">
        <v>45</v>
      </c>
      <c r="C20" s="3">
        <v>65.435000000000002</v>
      </c>
      <c r="D20" s="3" t="s">
        <v>9</v>
      </c>
      <c r="E20" s="4">
        <v>46270</v>
      </c>
      <c r="F20" s="4">
        <v>46254</v>
      </c>
      <c r="G20" s="1" t="s">
        <v>328</v>
      </c>
    </row>
    <row r="21" spans="1:7" x14ac:dyDescent="0.25">
      <c r="A21" s="1" t="s">
        <v>46</v>
      </c>
      <c r="B21" s="2" t="s">
        <v>47</v>
      </c>
      <c r="C21" s="3">
        <v>65.435000000000002</v>
      </c>
      <c r="D21" s="3" t="s">
        <v>9</v>
      </c>
      <c r="E21" s="4">
        <v>46270</v>
      </c>
      <c r="F21" s="4">
        <v>46254</v>
      </c>
      <c r="G21" s="1" t="s">
        <v>328</v>
      </c>
    </row>
    <row r="22" spans="1:7" x14ac:dyDescent="0.25">
      <c r="A22" s="1" t="s">
        <v>48</v>
      </c>
      <c r="B22" s="2" t="s">
        <v>49</v>
      </c>
      <c r="C22" s="3">
        <v>142.6</v>
      </c>
      <c r="D22" s="3" t="s">
        <v>9</v>
      </c>
      <c r="E22" s="4">
        <v>46270</v>
      </c>
      <c r="F22" s="4">
        <v>46254</v>
      </c>
      <c r="G22" s="1" t="s">
        <v>328</v>
      </c>
    </row>
    <row r="23" spans="1:7" x14ac:dyDescent="0.25">
      <c r="A23" s="1" t="s">
        <v>50</v>
      </c>
      <c r="B23" s="2" t="s">
        <v>51</v>
      </c>
      <c r="C23" s="3">
        <v>169.05</v>
      </c>
      <c r="D23" s="3" t="s">
        <v>9</v>
      </c>
      <c r="E23" s="4">
        <v>46270</v>
      </c>
      <c r="F23" s="4">
        <v>46254</v>
      </c>
      <c r="G23" s="1" t="s">
        <v>328</v>
      </c>
    </row>
    <row r="24" spans="1:7" x14ac:dyDescent="0.25">
      <c r="A24" s="1" t="s">
        <v>52</v>
      </c>
      <c r="B24" s="2" t="s">
        <v>53</v>
      </c>
      <c r="C24" s="3">
        <v>128.80000000000001</v>
      </c>
      <c r="D24" s="3" t="s">
        <v>9</v>
      </c>
      <c r="E24" s="4">
        <v>46270</v>
      </c>
      <c r="F24" s="4">
        <v>46254</v>
      </c>
      <c r="G24" s="1" t="s">
        <v>328</v>
      </c>
    </row>
    <row r="25" spans="1:7" x14ac:dyDescent="0.25">
      <c r="A25" s="1" t="s">
        <v>54</v>
      </c>
      <c r="B25" s="2" t="s">
        <v>55</v>
      </c>
      <c r="C25" s="3">
        <v>71.3</v>
      </c>
      <c r="D25" s="3" t="s">
        <v>9</v>
      </c>
      <c r="E25" s="4">
        <v>46270</v>
      </c>
      <c r="F25" s="4">
        <v>46254</v>
      </c>
      <c r="G25" s="1" t="s">
        <v>328</v>
      </c>
    </row>
    <row r="26" spans="1:7" x14ac:dyDescent="0.25">
      <c r="A26" s="1" t="s">
        <v>56</v>
      </c>
      <c r="B26" s="2" t="s">
        <v>57</v>
      </c>
      <c r="C26" s="3">
        <v>63.25</v>
      </c>
      <c r="D26" s="3" t="s">
        <v>9</v>
      </c>
      <c r="E26" s="4">
        <v>46270</v>
      </c>
      <c r="F26" s="4">
        <v>46254</v>
      </c>
      <c r="G26" s="1" t="s">
        <v>328</v>
      </c>
    </row>
    <row r="27" spans="1:7" x14ac:dyDescent="0.25">
      <c r="A27" s="1" t="s">
        <v>58</v>
      </c>
      <c r="B27" s="2" t="s">
        <v>59</v>
      </c>
      <c r="C27" s="3">
        <v>113.85</v>
      </c>
      <c r="D27" s="3" t="s">
        <v>9</v>
      </c>
      <c r="E27" s="4">
        <v>46270</v>
      </c>
      <c r="F27" s="4">
        <v>46254</v>
      </c>
      <c r="G27" s="1" t="s">
        <v>328</v>
      </c>
    </row>
    <row r="28" spans="1:7" x14ac:dyDescent="0.25">
      <c r="A28" s="1" t="s">
        <v>60</v>
      </c>
      <c r="B28" s="2" t="s">
        <v>61</v>
      </c>
      <c r="C28" s="3">
        <v>75.900000000000006</v>
      </c>
      <c r="D28" s="3" t="s">
        <v>9</v>
      </c>
      <c r="E28" s="4">
        <v>46270</v>
      </c>
      <c r="F28" s="4">
        <v>46254</v>
      </c>
      <c r="G28" s="1" t="s">
        <v>328</v>
      </c>
    </row>
    <row r="29" spans="1:7" x14ac:dyDescent="0.25">
      <c r="A29" s="1" t="s">
        <v>62</v>
      </c>
      <c r="B29" s="2" t="s">
        <v>63</v>
      </c>
      <c r="C29" s="3">
        <v>120.75</v>
      </c>
      <c r="D29" s="3" t="s">
        <v>9</v>
      </c>
      <c r="E29" s="4">
        <v>46270</v>
      </c>
      <c r="F29" s="4">
        <v>46254</v>
      </c>
      <c r="G29" s="1" t="s">
        <v>328</v>
      </c>
    </row>
    <row r="30" spans="1:7" x14ac:dyDescent="0.25">
      <c r="A30" s="1" t="s">
        <v>64</v>
      </c>
      <c r="B30" s="2" t="s">
        <v>65</v>
      </c>
      <c r="C30" s="3">
        <v>119.6</v>
      </c>
      <c r="D30" s="3" t="s">
        <v>9</v>
      </c>
      <c r="E30" s="4">
        <v>46270</v>
      </c>
      <c r="F30" s="4">
        <v>46254</v>
      </c>
      <c r="G30" s="1" t="s">
        <v>328</v>
      </c>
    </row>
    <row r="31" spans="1:7" x14ac:dyDescent="0.25">
      <c r="A31" s="1" t="s">
        <v>66</v>
      </c>
      <c r="B31" s="2" t="s">
        <v>67</v>
      </c>
      <c r="C31" s="3">
        <v>224.25</v>
      </c>
      <c r="D31" s="3" t="s">
        <v>9</v>
      </c>
      <c r="E31" s="4">
        <v>46270</v>
      </c>
      <c r="F31" s="4">
        <v>46254</v>
      </c>
      <c r="G31" s="1" t="s">
        <v>328</v>
      </c>
    </row>
    <row r="32" spans="1:7" x14ac:dyDescent="0.25">
      <c r="A32" s="1" t="s">
        <v>68</v>
      </c>
      <c r="B32" s="2" t="s">
        <v>69</v>
      </c>
      <c r="C32" s="3">
        <v>81.109499999999997</v>
      </c>
      <c r="D32" s="3">
        <f>C32+(C32*0.5)</f>
        <v>121.66425</v>
      </c>
      <c r="E32" s="4">
        <v>46270</v>
      </c>
      <c r="F32" s="4">
        <v>46254</v>
      </c>
      <c r="G32" s="1" t="s">
        <v>329</v>
      </c>
    </row>
    <row r="33" spans="1:7" x14ac:dyDescent="0.25">
      <c r="A33" s="1" t="s">
        <v>70</v>
      </c>
      <c r="B33" s="2" t="s">
        <v>71</v>
      </c>
      <c r="C33" s="3">
        <v>84.732000000000014</v>
      </c>
      <c r="D33" s="3">
        <f t="shared" ref="D33:D35" si="0">C33+(C33*0.5)</f>
        <v>127.09800000000001</v>
      </c>
      <c r="E33" s="4">
        <v>46270</v>
      </c>
      <c r="F33" s="4">
        <v>46254</v>
      </c>
      <c r="G33" s="1" t="s">
        <v>329</v>
      </c>
    </row>
    <row r="34" spans="1:7" x14ac:dyDescent="0.25">
      <c r="A34" s="1" t="s">
        <v>72</v>
      </c>
      <c r="B34" s="2" t="s">
        <v>73</v>
      </c>
      <c r="C34" s="3">
        <v>84.732000000000014</v>
      </c>
      <c r="D34" s="3">
        <f t="shared" si="0"/>
        <v>127.09800000000001</v>
      </c>
      <c r="E34" s="4">
        <v>46270</v>
      </c>
      <c r="F34" s="4">
        <v>46254</v>
      </c>
      <c r="G34" s="1" t="s">
        <v>329</v>
      </c>
    </row>
    <row r="35" spans="1:7" x14ac:dyDescent="0.25">
      <c r="A35" s="1" t="s">
        <v>74</v>
      </c>
      <c r="B35" s="2" t="s">
        <v>75</v>
      </c>
      <c r="C35" s="3">
        <v>195.5</v>
      </c>
      <c r="D35" s="3">
        <f>C35+(C35*0.3)</f>
        <v>254.15</v>
      </c>
      <c r="E35" s="4">
        <v>46270</v>
      </c>
      <c r="F35" s="4">
        <v>46254</v>
      </c>
      <c r="G35" s="1" t="s">
        <v>329</v>
      </c>
    </row>
    <row r="36" spans="1:7" x14ac:dyDescent="0.25">
      <c r="A36" s="1" t="s">
        <v>76</v>
      </c>
      <c r="B36" s="2" t="s">
        <v>77</v>
      </c>
      <c r="C36" s="3">
        <v>132.25</v>
      </c>
      <c r="D36" s="3">
        <f t="shared" ref="D36:D43" si="1">C36+(C36*0.3)</f>
        <v>171.92500000000001</v>
      </c>
      <c r="E36" s="4">
        <v>46270</v>
      </c>
      <c r="F36" s="4">
        <v>46254</v>
      </c>
      <c r="G36" s="1" t="s">
        <v>329</v>
      </c>
    </row>
    <row r="37" spans="1:7" x14ac:dyDescent="0.25">
      <c r="A37" s="1" t="s">
        <v>78</v>
      </c>
      <c r="B37" s="2" t="s">
        <v>79</v>
      </c>
      <c r="C37" s="3">
        <v>131.1</v>
      </c>
      <c r="D37" s="3">
        <f t="shared" si="1"/>
        <v>170.43</v>
      </c>
      <c r="E37" s="4">
        <v>46270</v>
      </c>
      <c r="F37" s="4">
        <v>46254</v>
      </c>
      <c r="G37" s="1" t="s">
        <v>329</v>
      </c>
    </row>
    <row r="38" spans="1:7" x14ac:dyDescent="0.25">
      <c r="A38" s="1" t="s">
        <v>80</v>
      </c>
      <c r="B38" s="2" t="s">
        <v>81</v>
      </c>
      <c r="C38" s="3">
        <v>50.6</v>
      </c>
      <c r="D38" s="3">
        <f t="shared" si="1"/>
        <v>65.78</v>
      </c>
      <c r="E38" s="4">
        <v>46270</v>
      </c>
      <c r="F38" s="4">
        <v>46254</v>
      </c>
      <c r="G38" s="1" t="s">
        <v>329</v>
      </c>
    </row>
    <row r="39" spans="1:7" x14ac:dyDescent="0.25">
      <c r="A39" s="1" t="s">
        <v>82</v>
      </c>
      <c r="B39" s="2" t="s">
        <v>83</v>
      </c>
      <c r="C39" s="3">
        <v>96.6</v>
      </c>
      <c r="D39" s="3">
        <f t="shared" si="1"/>
        <v>125.57999999999998</v>
      </c>
      <c r="E39" s="4">
        <v>46270</v>
      </c>
      <c r="F39" s="4">
        <v>46254</v>
      </c>
      <c r="G39" s="1" t="s">
        <v>329</v>
      </c>
    </row>
    <row r="40" spans="1:7" x14ac:dyDescent="0.25">
      <c r="A40" s="1" t="s">
        <v>84</v>
      </c>
      <c r="B40" s="2" t="s">
        <v>85</v>
      </c>
      <c r="C40" s="3">
        <v>96.6</v>
      </c>
      <c r="D40" s="3">
        <f t="shared" si="1"/>
        <v>125.57999999999998</v>
      </c>
      <c r="E40" s="4">
        <v>46270</v>
      </c>
      <c r="F40" s="4">
        <v>46254</v>
      </c>
      <c r="G40" s="1" t="s">
        <v>329</v>
      </c>
    </row>
    <row r="41" spans="1:7" x14ac:dyDescent="0.25">
      <c r="A41" s="1" t="s">
        <v>86</v>
      </c>
      <c r="B41" s="2" t="s">
        <v>87</v>
      </c>
      <c r="C41" s="3">
        <v>149.5</v>
      </c>
      <c r="D41" s="3">
        <f t="shared" si="1"/>
        <v>194.35</v>
      </c>
      <c r="E41" s="4">
        <v>46270</v>
      </c>
      <c r="F41" s="4">
        <v>46254</v>
      </c>
      <c r="G41" s="1" t="s">
        <v>329</v>
      </c>
    </row>
    <row r="42" spans="1:7" x14ac:dyDescent="0.25">
      <c r="A42" s="1" t="s">
        <v>88</v>
      </c>
      <c r="B42" s="2" t="s">
        <v>89</v>
      </c>
      <c r="C42" s="3">
        <v>154.171875</v>
      </c>
      <c r="D42" s="3">
        <f t="shared" si="1"/>
        <v>200.42343750000001</v>
      </c>
      <c r="E42" s="4">
        <v>46270</v>
      </c>
      <c r="F42" s="4">
        <v>46254</v>
      </c>
      <c r="G42" s="1" t="s">
        <v>329</v>
      </c>
    </row>
    <row r="43" spans="1:7" x14ac:dyDescent="0.25">
      <c r="A43" s="1" t="s">
        <v>90</v>
      </c>
      <c r="B43" s="2" t="s">
        <v>91</v>
      </c>
      <c r="C43" s="3">
        <v>181.58500000000001</v>
      </c>
      <c r="D43" s="3">
        <f>C43+(C43*0.2)</f>
        <v>217.90200000000002</v>
      </c>
      <c r="E43" s="4">
        <v>46270</v>
      </c>
      <c r="F43" s="4">
        <v>46254</v>
      </c>
      <c r="G43" s="1" t="s">
        <v>329</v>
      </c>
    </row>
    <row r="44" spans="1:7" x14ac:dyDescent="0.25">
      <c r="A44" s="1" t="s">
        <v>92</v>
      </c>
      <c r="B44" s="2" t="s">
        <v>93</v>
      </c>
      <c r="C44" s="3">
        <v>165.94500000000002</v>
      </c>
      <c r="D44" s="3">
        <f t="shared" ref="D44:D53" si="2">C44+(C44*0.2)</f>
        <v>199.13400000000001</v>
      </c>
      <c r="E44" s="4">
        <v>46270</v>
      </c>
      <c r="F44" s="4">
        <v>46254</v>
      </c>
      <c r="G44" s="1" t="s">
        <v>329</v>
      </c>
    </row>
    <row r="45" spans="1:7" x14ac:dyDescent="0.25">
      <c r="A45" s="1" t="s">
        <v>94</v>
      </c>
      <c r="B45" s="2" t="s">
        <v>95</v>
      </c>
      <c r="C45" s="3">
        <v>165.94500000000002</v>
      </c>
      <c r="D45" s="3">
        <f t="shared" si="2"/>
        <v>199.13400000000001</v>
      </c>
      <c r="E45" s="4">
        <v>46270</v>
      </c>
      <c r="F45" s="4">
        <v>46254</v>
      </c>
      <c r="G45" s="1" t="s">
        <v>329</v>
      </c>
    </row>
    <row r="46" spans="1:7" x14ac:dyDescent="0.25">
      <c r="A46" s="1" t="s">
        <v>96</v>
      </c>
      <c r="B46" s="2" t="s">
        <v>97</v>
      </c>
      <c r="C46" s="3">
        <v>184</v>
      </c>
      <c r="D46" s="3">
        <f t="shared" si="2"/>
        <v>220.8</v>
      </c>
      <c r="E46" s="4">
        <v>46270</v>
      </c>
      <c r="F46" s="4">
        <v>46254</v>
      </c>
      <c r="G46" s="1" t="s">
        <v>329</v>
      </c>
    </row>
    <row r="47" spans="1:7" x14ac:dyDescent="0.25">
      <c r="A47" s="1" t="s">
        <v>98</v>
      </c>
      <c r="B47" s="2" t="s">
        <v>99</v>
      </c>
      <c r="C47" s="3">
        <v>94.817499999999995</v>
      </c>
      <c r="D47" s="3">
        <f t="shared" si="2"/>
        <v>113.78099999999999</v>
      </c>
      <c r="E47" s="4">
        <v>46270</v>
      </c>
      <c r="F47" s="4">
        <v>46254</v>
      </c>
      <c r="G47" s="1" t="s">
        <v>329</v>
      </c>
    </row>
    <row r="48" spans="1:7" x14ac:dyDescent="0.25">
      <c r="A48" s="1" t="s">
        <v>100</v>
      </c>
      <c r="B48" s="2" t="s">
        <v>101</v>
      </c>
      <c r="C48" s="3">
        <v>71.3</v>
      </c>
      <c r="D48" s="3">
        <f t="shared" si="2"/>
        <v>85.56</v>
      </c>
      <c r="E48" s="4">
        <v>46270</v>
      </c>
      <c r="F48" s="4">
        <v>46254</v>
      </c>
      <c r="G48" s="1" t="s">
        <v>329</v>
      </c>
    </row>
    <row r="49" spans="1:7" x14ac:dyDescent="0.25">
      <c r="A49" s="1" t="s">
        <v>102</v>
      </c>
      <c r="B49" s="2" t="s">
        <v>103</v>
      </c>
      <c r="C49" s="3">
        <v>136.85</v>
      </c>
      <c r="D49" s="3">
        <f t="shared" si="2"/>
        <v>164.22</v>
      </c>
      <c r="E49" s="4">
        <v>46270</v>
      </c>
      <c r="F49" s="4">
        <v>46254</v>
      </c>
      <c r="G49" s="1" t="s">
        <v>329</v>
      </c>
    </row>
    <row r="50" spans="1:7" x14ac:dyDescent="0.25">
      <c r="A50" s="1" t="s">
        <v>104</v>
      </c>
      <c r="B50" s="2" t="s">
        <v>105</v>
      </c>
      <c r="C50" s="3">
        <v>126.5</v>
      </c>
      <c r="D50" s="3">
        <f t="shared" si="2"/>
        <v>151.80000000000001</v>
      </c>
      <c r="E50" s="4">
        <v>46270</v>
      </c>
      <c r="F50" s="4">
        <v>46254</v>
      </c>
      <c r="G50" s="1" t="s">
        <v>329</v>
      </c>
    </row>
    <row r="51" spans="1:7" x14ac:dyDescent="0.25">
      <c r="A51" s="1" t="s">
        <v>106</v>
      </c>
      <c r="B51" s="2" t="s">
        <v>107</v>
      </c>
      <c r="C51" s="3">
        <v>113.85</v>
      </c>
      <c r="D51" s="3">
        <f t="shared" si="2"/>
        <v>136.62</v>
      </c>
      <c r="E51" s="4">
        <v>46270</v>
      </c>
      <c r="F51" s="4">
        <v>46254</v>
      </c>
      <c r="G51" s="1" t="s">
        <v>329</v>
      </c>
    </row>
    <row r="52" spans="1:7" x14ac:dyDescent="0.25">
      <c r="A52" s="1" t="s">
        <v>108</v>
      </c>
      <c r="B52" s="2" t="s">
        <v>109</v>
      </c>
      <c r="C52" s="3">
        <v>41.6875</v>
      </c>
      <c r="D52" s="3">
        <f t="shared" si="2"/>
        <v>50.024999999999999</v>
      </c>
      <c r="E52" s="4">
        <v>46270</v>
      </c>
      <c r="F52" s="4">
        <v>46254</v>
      </c>
      <c r="G52" s="1" t="s">
        <v>329</v>
      </c>
    </row>
    <row r="53" spans="1:7" x14ac:dyDescent="0.25">
      <c r="A53" s="1" t="s">
        <v>110</v>
      </c>
      <c r="B53" s="2" t="s">
        <v>111</v>
      </c>
      <c r="C53" s="3">
        <v>170.05625000000001</v>
      </c>
      <c r="D53" s="3">
        <f t="shared" si="2"/>
        <v>204.0675</v>
      </c>
      <c r="E53" s="4">
        <v>46270</v>
      </c>
      <c r="F53" s="4">
        <v>46254</v>
      </c>
      <c r="G53" s="1" t="s">
        <v>329</v>
      </c>
    </row>
    <row r="54" spans="1:7" x14ac:dyDescent="0.25">
      <c r="A54" s="1" t="s">
        <v>112</v>
      </c>
      <c r="B54" s="2" t="s">
        <v>113</v>
      </c>
      <c r="C54" s="3">
        <v>37.950000000000003</v>
      </c>
      <c r="D54" s="3" t="s">
        <v>330</v>
      </c>
      <c r="E54" s="4">
        <v>46270</v>
      </c>
      <c r="F54" s="4">
        <v>46254</v>
      </c>
      <c r="G54" s="1" t="s">
        <v>328</v>
      </c>
    </row>
    <row r="55" spans="1:7" x14ac:dyDescent="0.25">
      <c r="A55" s="1" t="s">
        <v>114</v>
      </c>
      <c r="B55" s="2" t="s">
        <v>115</v>
      </c>
      <c r="C55" s="3">
        <v>61.180000000000007</v>
      </c>
      <c r="D55" s="3" t="s">
        <v>330</v>
      </c>
      <c r="E55" s="4">
        <v>46270</v>
      </c>
      <c r="F55" s="4">
        <v>46254</v>
      </c>
      <c r="G55" s="1" t="s">
        <v>328</v>
      </c>
    </row>
    <row r="56" spans="1:7" x14ac:dyDescent="0.25">
      <c r="A56" s="1" t="s">
        <v>116</v>
      </c>
      <c r="B56" s="2" t="s">
        <v>117</v>
      </c>
      <c r="C56" s="3">
        <v>70.150000000000006</v>
      </c>
      <c r="D56" s="3" t="s">
        <v>330</v>
      </c>
      <c r="E56" s="4">
        <v>46270</v>
      </c>
      <c r="F56" s="4">
        <v>46254</v>
      </c>
      <c r="G56" s="1" t="s">
        <v>328</v>
      </c>
    </row>
    <row r="57" spans="1:7" x14ac:dyDescent="0.25">
      <c r="A57" s="1" t="s">
        <v>118</v>
      </c>
      <c r="B57" s="2" t="s">
        <v>119</v>
      </c>
      <c r="C57" s="3">
        <v>39.79</v>
      </c>
      <c r="D57" s="3" t="s">
        <v>330</v>
      </c>
      <c r="E57" s="4">
        <v>46270</v>
      </c>
      <c r="F57" s="4">
        <v>46254</v>
      </c>
      <c r="G57" s="1" t="s">
        <v>328</v>
      </c>
    </row>
    <row r="58" spans="1:7" x14ac:dyDescent="0.25">
      <c r="A58" s="1" t="s">
        <v>120</v>
      </c>
      <c r="B58" s="2" t="s">
        <v>121</v>
      </c>
      <c r="C58" s="3">
        <v>71.3</v>
      </c>
      <c r="D58" s="3" t="s">
        <v>330</v>
      </c>
      <c r="E58" s="4">
        <v>46270</v>
      </c>
      <c r="F58" s="4">
        <v>46254</v>
      </c>
      <c r="G58" s="1" t="s">
        <v>328</v>
      </c>
    </row>
    <row r="59" spans="1:7" x14ac:dyDescent="0.25">
      <c r="A59" s="1" t="s">
        <v>122</v>
      </c>
      <c r="B59" s="2" t="s">
        <v>123</v>
      </c>
      <c r="C59" s="3">
        <v>115.23</v>
      </c>
      <c r="D59" s="3" t="s">
        <v>330</v>
      </c>
      <c r="E59" s="4">
        <v>46270</v>
      </c>
      <c r="F59" s="4">
        <v>46254</v>
      </c>
      <c r="G59" s="1" t="s">
        <v>328</v>
      </c>
    </row>
    <row r="60" spans="1:7" x14ac:dyDescent="0.25">
      <c r="A60" s="1" t="s">
        <v>124</v>
      </c>
      <c r="B60" s="2" t="s">
        <v>125</v>
      </c>
      <c r="C60" s="3">
        <v>40.365000000000002</v>
      </c>
      <c r="D60" s="3" t="s">
        <v>330</v>
      </c>
      <c r="E60" s="4">
        <v>46270</v>
      </c>
      <c r="F60" s="4">
        <v>46254</v>
      </c>
      <c r="G60" s="1" t="s">
        <v>328</v>
      </c>
    </row>
    <row r="61" spans="1:7" x14ac:dyDescent="0.25">
      <c r="A61" s="1" t="s">
        <v>126</v>
      </c>
      <c r="B61" s="2" t="s">
        <v>127</v>
      </c>
      <c r="C61" s="3">
        <v>67.16</v>
      </c>
      <c r="D61" s="3" t="s">
        <v>330</v>
      </c>
      <c r="E61" s="4">
        <v>46270</v>
      </c>
      <c r="F61" s="4">
        <v>46254</v>
      </c>
      <c r="G61" s="1" t="s">
        <v>328</v>
      </c>
    </row>
    <row r="62" spans="1:7" x14ac:dyDescent="0.25">
      <c r="A62" s="1" t="s">
        <v>128</v>
      </c>
      <c r="B62" s="2" t="s">
        <v>129</v>
      </c>
      <c r="C62" s="3">
        <v>44.85</v>
      </c>
      <c r="D62" s="3" t="s">
        <v>330</v>
      </c>
      <c r="E62" s="4">
        <v>46270</v>
      </c>
      <c r="F62" s="4">
        <v>46254</v>
      </c>
      <c r="G62" s="1" t="s">
        <v>328</v>
      </c>
    </row>
    <row r="63" spans="1:7" x14ac:dyDescent="0.25">
      <c r="A63" s="1" t="s">
        <v>130</v>
      </c>
      <c r="B63" s="2" t="s">
        <v>131</v>
      </c>
      <c r="C63" s="3">
        <v>50.255000000000003</v>
      </c>
      <c r="D63" s="3" t="s">
        <v>330</v>
      </c>
      <c r="E63" s="4">
        <v>46270</v>
      </c>
      <c r="F63" s="4">
        <v>46254</v>
      </c>
      <c r="G63" s="1" t="s">
        <v>328</v>
      </c>
    </row>
    <row r="64" spans="1:7" x14ac:dyDescent="0.25">
      <c r="A64" s="1" t="s">
        <v>132</v>
      </c>
      <c r="B64" s="2" t="s">
        <v>133</v>
      </c>
      <c r="C64" s="3">
        <v>77.05</v>
      </c>
      <c r="D64" s="3" t="s">
        <v>330</v>
      </c>
      <c r="E64" s="4">
        <v>46270</v>
      </c>
      <c r="F64" s="4">
        <v>46254</v>
      </c>
      <c r="G64" s="1" t="s">
        <v>328</v>
      </c>
    </row>
    <row r="65" spans="1:7" x14ac:dyDescent="0.25">
      <c r="A65" s="1" t="s">
        <v>134</v>
      </c>
      <c r="B65" s="2" t="s">
        <v>135</v>
      </c>
      <c r="C65" s="3">
        <v>356.5</v>
      </c>
      <c r="D65" s="3">
        <f>C65*0.75</f>
        <v>267.375</v>
      </c>
      <c r="E65" s="4">
        <v>46270</v>
      </c>
      <c r="F65" s="4">
        <v>46254</v>
      </c>
      <c r="G65" s="1" t="s">
        <v>331</v>
      </c>
    </row>
    <row r="66" spans="1:7" x14ac:dyDescent="0.25">
      <c r="A66" s="1" t="s">
        <v>136</v>
      </c>
      <c r="B66" s="2" t="s">
        <v>137</v>
      </c>
      <c r="C66" s="3">
        <v>71.875</v>
      </c>
      <c r="D66" s="3">
        <f>C66*0.7</f>
        <v>50.3125</v>
      </c>
      <c r="E66" s="4">
        <v>46270</v>
      </c>
      <c r="F66" s="4">
        <v>46254</v>
      </c>
      <c r="G66" s="1" t="s">
        <v>331</v>
      </c>
    </row>
    <row r="67" spans="1:7" x14ac:dyDescent="0.25">
      <c r="A67" s="1" t="s">
        <v>138</v>
      </c>
      <c r="B67" s="2" t="s">
        <v>139</v>
      </c>
      <c r="C67" s="3">
        <v>63.709999999999994</v>
      </c>
      <c r="D67" s="3">
        <f t="shared" ref="D67:D85" si="3">C67*0.7</f>
        <v>44.596999999999994</v>
      </c>
      <c r="E67" s="4">
        <v>46270</v>
      </c>
      <c r="F67" s="4">
        <v>46254</v>
      </c>
      <c r="G67" s="1" t="s">
        <v>331</v>
      </c>
    </row>
    <row r="68" spans="1:7" x14ac:dyDescent="0.25">
      <c r="A68" s="1" t="s">
        <v>140</v>
      </c>
      <c r="B68" s="2" t="s">
        <v>141</v>
      </c>
      <c r="C68" s="3">
        <v>106.95</v>
      </c>
      <c r="D68" s="3">
        <f t="shared" si="3"/>
        <v>74.864999999999995</v>
      </c>
      <c r="E68" s="4">
        <v>46270</v>
      </c>
      <c r="F68" s="4">
        <v>46254</v>
      </c>
      <c r="G68" s="1" t="s">
        <v>331</v>
      </c>
    </row>
    <row r="69" spans="1:7" x14ac:dyDescent="0.25">
      <c r="A69" s="1" t="s">
        <v>142</v>
      </c>
      <c r="B69" s="2" t="s">
        <v>143</v>
      </c>
      <c r="C69" s="3">
        <v>110.4</v>
      </c>
      <c r="D69" s="3">
        <f t="shared" si="3"/>
        <v>77.28</v>
      </c>
      <c r="E69" s="4">
        <v>46270</v>
      </c>
      <c r="F69" s="4">
        <v>46254</v>
      </c>
      <c r="G69" s="1" t="s">
        <v>331</v>
      </c>
    </row>
    <row r="70" spans="1:7" x14ac:dyDescent="0.25">
      <c r="A70" s="1" t="s">
        <v>144</v>
      </c>
      <c r="B70" s="2" t="s">
        <v>145</v>
      </c>
      <c r="C70" s="3">
        <v>247.25</v>
      </c>
      <c r="D70" s="3">
        <f t="shared" si="3"/>
        <v>173.07499999999999</v>
      </c>
      <c r="E70" s="4">
        <v>46270</v>
      </c>
      <c r="F70" s="4">
        <v>46254</v>
      </c>
      <c r="G70" s="1" t="s">
        <v>331</v>
      </c>
    </row>
    <row r="71" spans="1:7" x14ac:dyDescent="0.25">
      <c r="A71" s="1" t="s">
        <v>146</v>
      </c>
      <c r="B71" s="2" t="s">
        <v>147</v>
      </c>
      <c r="C71" s="3">
        <v>73.83</v>
      </c>
      <c r="D71" s="3">
        <f t="shared" si="3"/>
        <v>51.680999999999997</v>
      </c>
      <c r="E71" s="4">
        <v>46270</v>
      </c>
      <c r="F71" s="4">
        <v>46254</v>
      </c>
      <c r="G71" s="1" t="s">
        <v>331</v>
      </c>
    </row>
    <row r="72" spans="1:7" x14ac:dyDescent="0.25">
      <c r="A72" s="1" t="s">
        <v>148</v>
      </c>
      <c r="B72" s="2" t="s">
        <v>149</v>
      </c>
      <c r="C72" s="3">
        <v>54.28</v>
      </c>
      <c r="D72" s="3">
        <f t="shared" si="3"/>
        <v>37.995999999999995</v>
      </c>
      <c r="E72" s="4">
        <v>46270</v>
      </c>
      <c r="F72" s="4">
        <v>46254</v>
      </c>
      <c r="G72" s="1" t="s">
        <v>331</v>
      </c>
    </row>
    <row r="73" spans="1:7" x14ac:dyDescent="0.25">
      <c r="A73" s="1" t="s">
        <v>150</v>
      </c>
      <c r="B73" s="2" t="s">
        <v>151</v>
      </c>
      <c r="C73" s="3">
        <v>238.05</v>
      </c>
      <c r="D73" s="3">
        <f t="shared" si="3"/>
        <v>166.63499999999999</v>
      </c>
      <c r="E73" s="4">
        <v>46270</v>
      </c>
      <c r="F73" s="4">
        <v>46254</v>
      </c>
      <c r="G73" s="1" t="s">
        <v>331</v>
      </c>
    </row>
    <row r="74" spans="1:7" x14ac:dyDescent="0.25">
      <c r="A74" s="1" t="s">
        <v>152</v>
      </c>
      <c r="B74" s="2" t="s">
        <v>153</v>
      </c>
      <c r="C74" s="3">
        <v>191.47499999999999</v>
      </c>
      <c r="D74" s="3">
        <f t="shared" si="3"/>
        <v>134.0325</v>
      </c>
      <c r="E74" s="4">
        <v>46270</v>
      </c>
      <c r="F74" s="4">
        <v>46254</v>
      </c>
      <c r="G74" s="1" t="s">
        <v>331</v>
      </c>
    </row>
    <row r="75" spans="1:7" x14ac:dyDescent="0.25">
      <c r="A75" s="1" t="s">
        <v>154</v>
      </c>
      <c r="B75" s="2" t="s">
        <v>155</v>
      </c>
      <c r="C75" s="3">
        <v>269.10000000000002</v>
      </c>
      <c r="D75" s="3">
        <f t="shared" si="3"/>
        <v>188.37</v>
      </c>
      <c r="E75" s="4">
        <v>46270</v>
      </c>
      <c r="F75" s="4">
        <v>46254</v>
      </c>
      <c r="G75" s="1" t="s">
        <v>331</v>
      </c>
    </row>
    <row r="76" spans="1:7" x14ac:dyDescent="0.25">
      <c r="A76" s="1" t="s">
        <v>156</v>
      </c>
      <c r="B76" s="2" t="s">
        <v>157</v>
      </c>
      <c r="C76" s="3">
        <v>191.47499999999999</v>
      </c>
      <c r="D76" s="3">
        <f t="shared" si="3"/>
        <v>134.0325</v>
      </c>
      <c r="E76" s="4">
        <v>46270</v>
      </c>
      <c r="F76" s="4">
        <v>46254</v>
      </c>
      <c r="G76" s="1" t="s">
        <v>331</v>
      </c>
    </row>
    <row r="77" spans="1:7" x14ac:dyDescent="0.25">
      <c r="A77" s="1" t="s">
        <v>158</v>
      </c>
      <c r="B77" s="2" t="s">
        <v>159</v>
      </c>
      <c r="C77" s="3">
        <v>79.349999999999994</v>
      </c>
      <c r="D77" s="3">
        <f t="shared" si="3"/>
        <v>55.544999999999995</v>
      </c>
      <c r="E77" s="4">
        <v>46270</v>
      </c>
      <c r="F77" s="4">
        <v>46254</v>
      </c>
      <c r="G77" s="1" t="s">
        <v>331</v>
      </c>
    </row>
    <row r="78" spans="1:7" x14ac:dyDescent="0.25">
      <c r="A78" s="1" t="s">
        <v>160</v>
      </c>
      <c r="B78" s="2" t="s">
        <v>161</v>
      </c>
      <c r="C78" s="3">
        <v>250.41249999999999</v>
      </c>
      <c r="D78" s="3">
        <f t="shared" si="3"/>
        <v>175.28874999999999</v>
      </c>
      <c r="E78" s="4">
        <v>46270</v>
      </c>
      <c r="F78" s="4">
        <v>46254</v>
      </c>
      <c r="G78" s="1" t="s">
        <v>331</v>
      </c>
    </row>
    <row r="79" spans="1:7" x14ac:dyDescent="0.25">
      <c r="A79" s="1" t="s">
        <v>162</v>
      </c>
      <c r="B79" s="2" t="s">
        <v>163</v>
      </c>
      <c r="C79" s="3">
        <v>82.224999999999994</v>
      </c>
      <c r="D79" s="3">
        <f t="shared" si="3"/>
        <v>57.55749999999999</v>
      </c>
      <c r="E79" s="4">
        <v>46270</v>
      </c>
      <c r="F79" s="4">
        <v>46254</v>
      </c>
      <c r="G79" s="1" t="s">
        <v>331</v>
      </c>
    </row>
    <row r="80" spans="1:7" x14ac:dyDescent="0.25">
      <c r="A80" s="1" t="s">
        <v>164</v>
      </c>
      <c r="B80" s="2" t="s">
        <v>165</v>
      </c>
      <c r="C80" s="3">
        <v>113.16000000000001</v>
      </c>
      <c r="D80" s="3">
        <f t="shared" si="3"/>
        <v>79.212000000000003</v>
      </c>
      <c r="E80" s="4">
        <v>46270</v>
      </c>
      <c r="F80" s="4">
        <v>46254</v>
      </c>
      <c r="G80" s="1" t="s">
        <v>331</v>
      </c>
    </row>
    <row r="81" spans="1:7" x14ac:dyDescent="0.25">
      <c r="A81" s="1" t="s">
        <v>166</v>
      </c>
      <c r="B81" s="2" t="s">
        <v>167</v>
      </c>
      <c r="C81" s="3">
        <v>112.125</v>
      </c>
      <c r="D81" s="3">
        <f t="shared" si="3"/>
        <v>78.487499999999997</v>
      </c>
      <c r="E81" s="4">
        <v>46270</v>
      </c>
      <c r="F81" s="4">
        <v>46254</v>
      </c>
      <c r="G81" s="1" t="s">
        <v>331</v>
      </c>
    </row>
    <row r="82" spans="1:7" x14ac:dyDescent="0.25">
      <c r="A82" s="1" t="s">
        <v>168</v>
      </c>
      <c r="B82" s="2" t="s">
        <v>169</v>
      </c>
      <c r="C82" s="3">
        <v>94.3</v>
      </c>
      <c r="D82" s="3">
        <f t="shared" si="3"/>
        <v>66.009999999999991</v>
      </c>
      <c r="E82" s="4">
        <v>46270</v>
      </c>
      <c r="F82" s="4">
        <v>46254</v>
      </c>
      <c r="G82" s="1" t="s">
        <v>331</v>
      </c>
    </row>
    <row r="83" spans="1:7" x14ac:dyDescent="0.25">
      <c r="A83" s="1" t="s">
        <v>170</v>
      </c>
      <c r="B83" s="2" t="s">
        <v>171</v>
      </c>
      <c r="C83" s="3">
        <v>196.21299999999999</v>
      </c>
      <c r="D83" s="3">
        <f t="shared" si="3"/>
        <v>137.34909999999999</v>
      </c>
      <c r="E83" s="4">
        <v>46270</v>
      </c>
      <c r="F83" s="4">
        <v>46254</v>
      </c>
      <c r="G83" s="1" t="s">
        <v>331</v>
      </c>
    </row>
    <row r="84" spans="1:7" x14ac:dyDescent="0.25">
      <c r="A84" s="1" t="s">
        <v>172</v>
      </c>
      <c r="B84" s="2" t="s">
        <v>173</v>
      </c>
      <c r="C84" s="3">
        <v>103.73</v>
      </c>
      <c r="D84" s="3">
        <f t="shared" si="3"/>
        <v>72.611000000000004</v>
      </c>
      <c r="E84" s="4">
        <v>46270</v>
      </c>
      <c r="F84" s="4">
        <v>46254</v>
      </c>
      <c r="G84" s="1" t="s">
        <v>331</v>
      </c>
    </row>
    <row r="85" spans="1:7" x14ac:dyDescent="0.25">
      <c r="A85" s="1" t="s">
        <v>174</v>
      </c>
      <c r="B85" s="2" t="s">
        <v>175</v>
      </c>
      <c r="C85" s="3">
        <v>89.585000000000008</v>
      </c>
      <c r="D85" s="3">
        <f t="shared" si="3"/>
        <v>62.709499999999998</v>
      </c>
      <c r="E85" s="4">
        <v>46270</v>
      </c>
      <c r="F85" s="4">
        <v>46254</v>
      </c>
      <c r="G85" s="1" t="s">
        <v>331</v>
      </c>
    </row>
    <row r="86" spans="1:7" x14ac:dyDescent="0.25">
      <c r="A86" s="1" t="s">
        <v>176</v>
      </c>
      <c r="B86" s="2" t="s">
        <v>177</v>
      </c>
      <c r="C86" s="3">
        <v>211.02500000000001</v>
      </c>
      <c r="D86" s="3">
        <f>C86*0.65</f>
        <v>137.16625000000002</v>
      </c>
      <c r="E86" s="4">
        <v>46270</v>
      </c>
      <c r="F86" s="4">
        <v>46254</v>
      </c>
      <c r="G86" s="1" t="s">
        <v>331</v>
      </c>
    </row>
    <row r="87" spans="1:7" x14ac:dyDescent="0.25">
      <c r="A87" s="1" t="s">
        <v>178</v>
      </c>
      <c r="B87" s="2" t="s">
        <v>179</v>
      </c>
      <c r="C87" s="3">
        <v>255.08150000000001</v>
      </c>
      <c r="D87" s="3">
        <f t="shared" ref="D87:D120" si="4">C87*0.65</f>
        <v>165.802975</v>
      </c>
      <c r="E87" s="4">
        <v>46270</v>
      </c>
      <c r="F87" s="4">
        <v>46254</v>
      </c>
      <c r="G87" s="1" t="s">
        <v>331</v>
      </c>
    </row>
    <row r="88" spans="1:7" x14ac:dyDescent="0.25">
      <c r="A88" s="1" t="s">
        <v>180</v>
      </c>
      <c r="B88" s="2" t="s">
        <v>181</v>
      </c>
      <c r="C88" s="3">
        <v>99.704999999999998</v>
      </c>
      <c r="D88" s="3">
        <f t="shared" si="4"/>
        <v>64.808250000000001</v>
      </c>
      <c r="E88" s="4">
        <v>46270</v>
      </c>
      <c r="F88" s="4">
        <v>46254</v>
      </c>
      <c r="G88" s="1" t="s">
        <v>331</v>
      </c>
    </row>
    <row r="89" spans="1:7" x14ac:dyDescent="0.25">
      <c r="A89" s="1" t="s">
        <v>182</v>
      </c>
      <c r="B89" s="2" t="s">
        <v>183</v>
      </c>
      <c r="C89" s="3">
        <v>272.36599999999999</v>
      </c>
      <c r="D89" s="3">
        <f t="shared" si="4"/>
        <v>177.03790000000001</v>
      </c>
      <c r="E89" s="4">
        <v>46270</v>
      </c>
      <c r="F89" s="4">
        <v>46254</v>
      </c>
      <c r="G89" s="1" t="s">
        <v>331</v>
      </c>
    </row>
    <row r="90" spans="1:7" x14ac:dyDescent="0.25">
      <c r="A90" s="1" t="s">
        <v>184</v>
      </c>
      <c r="B90" s="2" t="s">
        <v>185</v>
      </c>
      <c r="C90" s="3">
        <v>146.47550000000001</v>
      </c>
      <c r="D90" s="3">
        <f t="shared" si="4"/>
        <v>95.209075000000013</v>
      </c>
      <c r="E90" s="4">
        <v>46270</v>
      </c>
      <c r="F90" s="4">
        <v>46254</v>
      </c>
      <c r="G90" s="1" t="s">
        <v>331</v>
      </c>
    </row>
    <row r="91" spans="1:7" x14ac:dyDescent="0.25">
      <c r="A91" s="1" t="s">
        <v>186</v>
      </c>
      <c r="B91" s="2" t="s">
        <v>187</v>
      </c>
      <c r="C91" s="3">
        <v>231.20750000000001</v>
      </c>
      <c r="D91" s="3">
        <f t="shared" si="4"/>
        <v>150.284875</v>
      </c>
      <c r="E91" s="4">
        <v>46270</v>
      </c>
      <c r="F91" s="4">
        <v>46254</v>
      </c>
      <c r="G91" s="1" t="s">
        <v>331</v>
      </c>
    </row>
    <row r="92" spans="1:7" x14ac:dyDescent="0.25">
      <c r="A92" s="1" t="s">
        <v>188</v>
      </c>
      <c r="B92" s="2" t="s">
        <v>189</v>
      </c>
      <c r="C92" s="3">
        <v>231.20750000000001</v>
      </c>
      <c r="D92" s="3">
        <f t="shared" si="4"/>
        <v>150.284875</v>
      </c>
      <c r="E92" s="4">
        <v>46270</v>
      </c>
      <c r="F92" s="4">
        <v>46254</v>
      </c>
      <c r="G92" s="1" t="s">
        <v>331</v>
      </c>
    </row>
    <row r="93" spans="1:7" x14ac:dyDescent="0.25">
      <c r="A93" s="1" t="s">
        <v>190</v>
      </c>
      <c r="B93" s="2" t="s">
        <v>191</v>
      </c>
      <c r="C93" s="3">
        <v>96.6</v>
      </c>
      <c r="D93" s="3">
        <f t="shared" si="4"/>
        <v>62.79</v>
      </c>
      <c r="E93" s="4">
        <v>46270</v>
      </c>
      <c r="F93" s="4">
        <v>46254</v>
      </c>
      <c r="G93" s="1" t="s">
        <v>331</v>
      </c>
    </row>
    <row r="94" spans="1:7" x14ac:dyDescent="0.25">
      <c r="A94" s="1" t="s">
        <v>192</v>
      </c>
      <c r="B94" s="2" t="s">
        <v>193</v>
      </c>
      <c r="C94" s="3">
        <v>120.52</v>
      </c>
      <c r="D94" s="3">
        <f t="shared" si="4"/>
        <v>78.337999999999994</v>
      </c>
      <c r="E94" s="4">
        <v>46270</v>
      </c>
      <c r="F94" s="4">
        <v>46254</v>
      </c>
      <c r="G94" s="1" t="s">
        <v>331</v>
      </c>
    </row>
    <row r="95" spans="1:7" x14ac:dyDescent="0.25">
      <c r="A95" s="1" t="s">
        <v>194</v>
      </c>
      <c r="B95" s="2" t="s">
        <v>195</v>
      </c>
      <c r="C95" s="3">
        <v>102.005</v>
      </c>
      <c r="D95" s="3">
        <f t="shared" si="4"/>
        <v>66.303250000000006</v>
      </c>
      <c r="E95" s="4">
        <v>46270</v>
      </c>
      <c r="F95" s="4">
        <v>46254</v>
      </c>
      <c r="G95" s="1" t="s">
        <v>331</v>
      </c>
    </row>
    <row r="96" spans="1:7" x14ac:dyDescent="0.25">
      <c r="A96" s="1" t="s">
        <v>196</v>
      </c>
      <c r="B96" s="2" t="s">
        <v>197</v>
      </c>
      <c r="C96" s="3">
        <v>143.75</v>
      </c>
      <c r="D96" s="3">
        <f t="shared" si="4"/>
        <v>93.4375</v>
      </c>
      <c r="E96" s="4">
        <v>46270</v>
      </c>
      <c r="F96" s="4">
        <v>46254</v>
      </c>
      <c r="G96" s="1" t="s">
        <v>331</v>
      </c>
    </row>
    <row r="97" spans="1:7" x14ac:dyDescent="0.25">
      <c r="A97" s="1" t="s">
        <v>198</v>
      </c>
      <c r="B97" s="2" t="s">
        <v>199</v>
      </c>
      <c r="C97" s="3">
        <v>92</v>
      </c>
      <c r="D97" s="3">
        <f t="shared" si="4"/>
        <v>59.800000000000004</v>
      </c>
      <c r="E97" s="4">
        <v>46270</v>
      </c>
      <c r="F97" s="4">
        <v>46254</v>
      </c>
      <c r="G97" s="1" t="s">
        <v>331</v>
      </c>
    </row>
    <row r="98" spans="1:7" x14ac:dyDescent="0.25">
      <c r="A98" s="1" t="s">
        <v>200</v>
      </c>
      <c r="B98" s="2" t="s">
        <v>201</v>
      </c>
      <c r="C98" s="3">
        <v>143.75</v>
      </c>
      <c r="D98" s="3">
        <f t="shared" si="4"/>
        <v>93.4375</v>
      </c>
      <c r="E98" s="4">
        <v>46270</v>
      </c>
      <c r="F98" s="4">
        <v>46254</v>
      </c>
      <c r="G98" s="1" t="s">
        <v>331</v>
      </c>
    </row>
    <row r="99" spans="1:7" x14ac:dyDescent="0.25">
      <c r="A99" s="1" t="s">
        <v>202</v>
      </c>
      <c r="B99" s="2" t="s">
        <v>203</v>
      </c>
      <c r="C99" s="3">
        <v>85.214999999999989</v>
      </c>
      <c r="D99" s="3">
        <f t="shared" si="4"/>
        <v>55.389749999999992</v>
      </c>
      <c r="E99" s="4">
        <v>46270</v>
      </c>
      <c r="F99" s="4">
        <v>46254</v>
      </c>
      <c r="G99" s="1" t="s">
        <v>331</v>
      </c>
    </row>
    <row r="100" spans="1:7" x14ac:dyDescent="0.25">
      <c r="A100" s="1" t="s">
        <v>204</v>
      </c>
      <c r="B100" s="2" t="s">
        <v>205</v>
      </c>
      <c r="C100" s="3">
        <v>90.85</v>
      </c>
      <c r="D100" s="3">
        <f t="shared" si="4"/>
        <v>59.052499999999995</v>
      </c>
      <c r="E100" s="4">
        <v>46270</v>
      </c>
      <c r="F100" s="4">
        <v>46254</v>
      </c>
      <c r="G100" s="1" t="s">
        <v>331</v>
      </c>
    </row>
    <row r="101" spans="1:7" x14ac:dyDescent="0.25">
      <c r="A101" s="1" t="s">
        <v>206</v>
      </c>
      <c r="B101" s="2" t="s">
        <v>207</v>
      </c>
      <c r="C101" s="3">
        <v>90.550999999999988</v>
      </c>
      <c r="D101" s="3">
        <f t="shared" si="4"/>
        <v>58.858149999999995</v>
      </c>
      <c r="E101" s="4">
        <v>46270</v>
      </c>
      <c r="F101" s="4">
        <v>46254</v>
      </c>
      <c r="G101" s="1" t="s">
        <v>331</v>
      </c>
    </row>
    <row r="102" spans="1:7" x14ac:dyDescent="0.25">
      <c r="A102" s="1" t="s">
        <v>208</v>
      </c>
      <c r="B102" s="2" t="s">
        <v>209</v>
      </c>
      <c r="C102" s="3">
        <v>90.550999999999988</v>
      </c>
      <c r="D102" s="3">
        <f t="shared" si="4"/>
        <v>58.858149999999995</v>
      </c>
      <c r="E102" s="4">
        <v>46270</v>
      </c>
      <c r="F102" s="4">
        <v>46254</v>
      </c>
      <c r="G102" s="1" t="s">
        <v>331</v>
      </c>
    </row>
    <row r="103" spans="1:7" x14ac:dyDescent="0.25">
      <c r="A103" s="1" t="s">
        <v>210</v>
      </c>
      <c r="B103" s="2" t="s">
        <v>211</v>
      </c>
      <c r="C103" s="3">
        <v>113.7925</v>
      </c>
      <c r="D103" s="3">
        <f t="shared" si="4"/>
        <v>73.965125</v>
      </c>
      <c r="E103" s="4">
        <v>46270</v>
      </c>
      <c r="F103" s="4">
        <v>46254</v>
      </c>
      <c r="G103" s="1" t="s">
        <v>331</v>
      </c>
    </row>
    <row r="104" spans="1:7" x14ac:dyDescent="0.25">
      <c r="A104" s="1" t="s">
        <v>212</v>
      </c>
      <c r="B104" s="2" t="s">
        <v>213</v>
      </c>
      <c r="C104" s="3">
        <v>118.45</v>
      </c>
      <c r="D104" s="3">
        <f t="shared" si="4"/>
        <v>76.992500000000007</v>
      </c>
      <c r="E104" s="4">
        <v>46270</v>
      </c>
      <c r="F104" s="4">
        <v>46254</v>
      </c>
      <c r="G104" s="1" t="s">
        <v>331</v>
      </c>
    </row>
    <row r="105" spans="1:7" x14ac:dyDescent="0.25">
      <c r="A105" s="1" t="s">
        <v>214</v>
      </c>
      <c r="B105" s="2" t="s">
        <v>215</v>
      </c>
      <c r="C105" s="3">
        <v>120.934</v>
      </c>
      <c r="D105" s="3">
        <f t="shared" si="4"/>
        <v>78.607100000000003</v>
      </c>
      <c r="E105" s="4">
        <v>46270</v>
      </c>
      <c r="F105" s="4">
        <v>46254</v>
      </c>
      <c r="G105" s="1" t="s">
        <v>331</v>
      </c>
    </row>
    <row r="106" spans="1:7" x14ac:dyDescent="0.25">
      <c r="A106" s="1" t="s">
        <v>216</v>
      </c>
      <c r="B106" s="2" t="s">
        <v>217</v>
      </c>
      <c r="C106" s="3">
        <v>93.15</v>
      </c>
      <c r="D106" s="3">
        <f t="shared" si="4"/>
        <v>60.547500000000007</v>
      </c>
      <c r="E106" s="4">
        <v>46270</v>
      </c>
      <c r="F106" s="4">
        <v>46254</v>
      </c>
      <c r="G106" s="1" t="s">
        <v>331</v>
      </c>
    </row>
    <row r="107" spans="1:7" x14ac:dyDescent="0.25">
      <c r="A107" s="1" t="s">
        <v>218</v>
      </c>
      <c r="B107" s="2" t="s">
        <v>219</v>
      </c>
      <c r="C107" s="3">
        <v>122.26799999999999</v>
      </c>
      <c r="D107" s="3">
        <f t="shared" si="4"/>
        <v>79.474199999999996</v>
      </c>
      <c r="E107" s="4">
        <v>46270</v>
      </c>
      <c r="F107" s="4">
        <v>46254</v>
      </c>
      <c r="G107" s="1" t="s">
        <v>331</v>
      </c>
    </row>
    <row r="108" spans="1:7" x14ac:dyDescent="0.25">
      <c r="A108" s="1" t="s">
        <v>220</v>
      </c>
      <c r="B108" s="2" t="s">
        <v>221</v>
      </c>
      <c r="C108" s="3">
        <v>150.1095</v>
      </c>
      <c r="D108" s="3">
        <f t="shared" si="4"/>
        <v>97.571174999999997</v>
      </c>
      <c r="E108" s="4">
        <v>46270</v>
      </c>
      <c r="F108" s="4">
        <v>46254</v>
      </c>
      <c r="G108" s="1" t="s">
        <v>331</v>
      </c>
    </row>
    <row r="109" spans="1:7" x14ac:dyDescent="0.25">
      <c r="A109" s="1" t="s">
        <v>222</v>
      </c>
      <c r="B109" s="2" t="s">
        <v>223</v>
      </c>
      <c r="C109" s="3">
        <v>129.52449999999999</v>
      </c>
      <c r="D109" s="3">
        <f t="shared" si="4"/>
        <v>84.190924999999993</v>
      </c>
      <c r="E109" s="4">
        <v>46270</v>
      </c>
      <c r="F109" s="4">
        <v>46254</v>
      </c>
      <c r="G109" s="1" t="s">
        <v>331</v>
      </c>
    </row>
    <row r="110" spans="1:7" x14ac:dyDescent="0.25">
      <c r="A110" s="1" t="s">
        <v>224</v>
      </c>
      <c r="B110" s="2" t="s">
        <v>225</v>
      </c>
      <c r="C110" s="3">
        <v>117.4265</v>
      </c>
      <c r="D110" s="3">
        <f t="shared" si="4"/>
        <v>76.327224999999999</v>
      </c>
      <c r="E110" s="4">
        <v>46270</v>
      </c>
      <c r="F110" s="4">
        <v>46254</v>
      </c>
      <c r="G110" s="1" t="s">
        <v>331</v>
      </c>
    </row>
    <row r="111" spans="1:7" x14ac:dyDescent="0.25">
      <c r="A111" s="1" t="s">
        <v>226</v>
      </c>
      <c r="B111" s="2" t="s">
        <v>227</v>
      </c>
      <c r="C111" s="3">
        <v>183.19500000000002</v>
      </c>
      <c r="D111" s="3">
        <f t="shared" si="4"/>
        <v>119.07675000000002</v>
      </c>
      <c r="E111" s="4">
        <v>46270</v>
      </c>
      <c r="F111" s="4">
        <v>46254</v>
      </c>
      <c r="G111" s="1" t="s">
        <v>331</v>
      </c>
    </row>
    <row r="112" spans="1:7" x14ac:dyDescent="0.25">
      <c r="A112" s="1" t="s">
        <v>228</v>
      </c>
      <c r="B112" s="2" t="s">
        <v>229</v>
      </c>
      <c r="C112" s="3">
        <v>156.03200000000001</v>
      </c>
      <c r="D112" s="3">
        <f t="shared" si="4"/>
        <v>101.42080000000001</v>
      </c>
      <c r="E112" s="4">
        <v>46270</v>
      </c>
      <c r="F112" s="4">
        <v>46254</v>
      </c>
      <c r="G112" s="1" t="s">
        <v>331</v>
      </c>
    </row>
    <row r="113" spans="1:7" x14ac:dyDescent="0.25">
      <c r="A113" s="1" t="s">
        <v>230</v>
      </c>
      <c r="B113" s="2" t="s">
        <v>231</v>
      </c>
      <c r="C113" s="3">
        <v>242.1095</v>
      </c>
      <c r="D113" s="3">
        <f t="shared" si="4"/>
        <v>157.37117499999999</v>
      </c>
      <c r="E113" s="4">
        <v>46270</v>
      </c>
      <c r="F113" s="4">
        <v>46254</v>
      </c>
      <c r="G113" s="1" t="s">
        <v>331</v>
      </c>
    </row>
    <row r="114" spans="1:7" x14ac:dyDescent="0.25">
      <c r="A114" s="1" t="s">
        <v>232</v>
      </c>
      <c r="B114" s="2" t="s">
        <v>233</v>
      </c>
      <c r="C114" s="3">
        <v>154.16900000000001</v>
      </c>
      <c r="D114" s="3">
        <f t="shared" si="4"/>
        <v>100.20985000000002</v>
      </c>
      <c r="E114" s="4">
        <v>46270</v>
      </c>
      <c r="F114" s="4">
        <v>46254</v>
      </c>
      <c r="G114" s="1" t="s">
        <v>331</v>
      </c>
    </row>
    <row r="115" spans="1:7" x14ac:dyDescent="0.25">
      <c r="A115" s="1" t="s">
        <v>234</v>
      </c>
      <c r="B115" s="2" t="s">
        <v>235</v>
      </c>
      <c r="C115" s="3">
        <v>55.2</v>
      </c>
      <c r="D115" s="3">
        <f t="shared" si="4"/>
        <v>35.880000000000003</v>
      </c>
      <c r="E115" s="4">
        <v>46270</v>
      </c>
      <c r="F115" s="4">
        <v>46254</v>
      </c>
      <c r="G115" s="1" t="s">
        <v>331</v>
      </c>
    </row>
    <row r="116" spans="1:7" x14ac:dyDescent="0.25">
      <c r="A116" s="1" t="s">
        <v>236</v>
      </c>
      <c r="B116" s="2" t="s">
        <v>237</v>
      </c>
      <c r="C116" s="3">
        <v>55.2</v>
      </c>
      <c r="D116" s="3">
        <f t="shared" si="4"/>
        <v>35.880000000000003</v>
      </c>
      <c r="E116" s="4">
        <v>46270</v>
      </c>
      <c r="F116" s="4">
        <v>46254</v>
      </c>
      <c r="G116" s="1" t="s">
        <v>331</v>
      </c>
    </row>
    <row r="117" spans="1:7" x14ac:dyDescent="0.25">
      <c r="A117" s="1" t="s">
        <v>238</v>
      </c>
      <c r="B117" s="2" t="s">
        <v>239</v>
      </c>
      <c r="C117" s="3">
        <v>41.4</v>
      </c>
      <c r="D117" s="3">
        <f t="shared" si="4"/>
        <v>26.91</v>
      </c>
      <c r="E117" s="4">
        <v>46270</v>
      </c>
      <c r="F117" s="4">
        <v>46254</v>
      </c>
      <c r="G117" s="1" t="s">
        <v>331</v>
      </c>
    </row>
    <row r="118" spans="1:7" x14ac:dyDescent="0.25">
      <c r="A118" s="1" t="s">
        <v>240</v>
      </c>
      <c r="B118" s="2" t="s">
        <v>241</v>
      </c>
      <c r="C118" s="3">
        <v>94.53</v>
      </c>
      <c r="D118" s="3">
        <f t="shared" si="4"/>
        <v>61.444500000000005</v>
      </c>
      <c r="E118" s="4">
        <v>46270</v>
      </c>
      <c r="F118" s="4">
        <v>46254</v>
      </c>
      <c r="G118" s="1" t="s">
        <v>331</v>
      </c>
    </row>
    <row r="119" spans="1:7" x14ac:dyDescent="0.25">
      <c r="A119" s="1" t="s">
        <v>242</v>
      </c>
      <c r="B119" s="2" t="s">
        <v>243</v>
      </c>
      <c r="C119" s="3">
        <v>67.275000000000006</v>
      </c>
      <c r="D119" s="3">
        <f t="shared" si="4"/>
        <v>43.728750000000005</v>
      </c>
      <c r="E119" s="4">
        <v>46270</v>
      </c>
      <c r="F119" s="4">
        <v>46254</v>
      </c>
      <c r="G119" s="1" t="s">
        <v>331</v>
      </c>
    </row>
    <row r="120" spans="1:7" x14ac:dyDescent="0.25">
      <c r="A120" s="1" t="s">
        <v>244</v>
      </c>
      <c r="B120" s="2" t="s">
        <v>245</v>
      </c>
      <c r="C120" s="3">
        <v>72.45</v>
      </c>
      <c r="D120" s="3">
        <f t="shared" si="4"/>
        <v>47.092500000000001</v>
      </c>
      <c r="E120" s="4">
        <v>46270</v>
      </c>
      <c r="F120" s="4">
        <v>46254</v>
      </c>
      <c r="G120" s="1" t="s">
        <v>331</v>
      </c>
    </row>
    <row r="121" spans="1:7" x14ac:dyDescent="0.25">
      <c r="A121" s="1" t="s">
        <v>246</v>
      </c>
      <c r="B121" s="2" t="s">
        <v>247</v>
      </c>
      <c r="C121" s="3">
        <v>118.45</v>
      </c>
      <c r="D121" s="3">
        <f>C121*0.6</f>
        <v>71.069999999999993</v>
      </c>
      <c r="E121" s="4">
        <v>46270</v>
      </c>
      <c r="F121" s="4">
        <v>46254</v>
      </c>
      <c r="G121" s="1" t="s">
        <v>331</v>
      </c>
    </row>
    <row r="122" spans="1:7" x14ac:dyDescent="0.25">
      <c r="A122" s="1" t="s">
        <v>248</v>
      </c>
      <c r="B122" s="2" t="s">
        <v>249</v>
      </c>
      <c r="C122" s="3">
        <v>109.25</v>
      </c>
      <c r="D122" s="3">
        <f t="shared" ref="D122:D148" si="5">C122*0.6</f>
        <v>65.55</v>
      </c>
      <c r="E122" s="4">
        <v>46270</v>
      </c>
      <c r="F122" s="4">
        <v>46254</v>
      </c>
      <c r="G122" s="1" t="s">
        <v>331</v>
      </c>
    </row>
    <row r="123" spans="1:7" x14ac:dyDescent="0.25">
      <c r="A123" s="1" t="s">
        <v>250</v>
      </c>
      <c r="B123" s="2" t="s">
        <v>251</v>
      </c>
      <c r="C123" s="3">
        <v>79.349999999999994</v>
      </c>
      <c r="D123" s="3">
        <f t="shared" si="5"/>
        <v>47.609999999999992</v>
      </c>
      <c r="E123" s="4">
        <v>46270</v>
      </c>
      <c r="F123" s="4">
        <v>46254</v>
      </c>
      <c r="G123" s="1" t="s">
        <v>331</v>
      </c>
    </row>
    <row r="124" spans="1:7" x14ac:dyDescent="0.25">
      <c r="A124" s="1" t="s">
        <v>252</v>
      </c>
      <c r="B124" s="2" t="s">
        <v>253</v>
      </c>
      <c r="C124" s="3">
        <v>56.005000000000003</v>
      </c>
      <c r="D124" s="3">
        <f t="shared" si="5"/>
        <v>33.603000000000002</v>
      </c>
      <c r="E124" s="4">
        <v>46270</v>
      </c>
      <c r="F124" s="4">
        <v>46254</v>
      </c>
      <c r="G124" s="1" t="s">
        <v>331</v>
      </c>
    </row>
    <row r="125" spans="1:7" x14ac:dyDescent="0.25">
      <c r="A125" s="1" t="s">
        <v>254</v>
      </c>
      <c r="B125" s="2" t="s">
        <v>255</v>
      </c>
      <c r="C125" s="3">
        <v>122.58999999999999</v>
      </c>
      <c r="D125" s="3">
        <f t="shared" si="5"/>
        <v>73.553999999999988</v>
      </c>
      <c r="E125" s="4">
        <v>46270</v>
      </c>
      <c r="F125" s="4">
        <v>46254</v>
      </c>
      <c r="G125" s="1" t="s">
        <v>331</v>
      </c>
    </row>
    <row r="126" spans="1:7" x14ac:dyDescent="0.25">
      <c r="A126" s="1" t="s">
        <v>256</v>
      </c>
      <c r="B126" s="2" t="s">
        <v>257</v>
      </c>
      <c r="C126" s="3">
        <v>113.16000000000001</v>
      </c>
      <c r="D126" s="3">
        <f t="shared" si="5"/>
        <v>67.896000000000001</v>
      </c>
      <c r="E126" s="4">
        <v>46270</v>
      </c>
      <c r="F126" s="4">
        <v>46254</v>
      </c>
      <c r="G126" s="1" t="s">
        <v>331</v>
      </c>
    </row>
    <row r="127" spans="1:7" x14ac:dyDescent="0.25">
      <c r="A127" s="1" t="s">
        <v>258</v>
      </c>
      <c r="B127" s="2" t="s">
        <v>259</v>
      </c>
      <c r="C127" s="3">
        <v>121.095</v>
      </c>
      <c r="D127" s="3">
        <f t="shared" si="5"/>
        <v>72.656999999999996</v>
      </c>
      <c r="E127" s="4">
        <v>46270</v>
      </c>
      <c r="F127" s="4">
        <v>46254</v>
      </c>
      <c r="G127" s="1" t="s">
        <v>331</v>
      </c>
    </row>
    <row r="128" spans="1:7" x14ac:dyDescent="0.25">
      <c r="A128" s="1" t="s">
        <v>260</v>
      </c>
      <c r="B128" s="2" t="s">
        <v>261</v>
      </c>
      <c r="C128" s="3">
        <v>70.724999999999994</v>
      </c>
      <c r="D128" s="3">
        <f t="shared" si="5"/>
        <v>42.434999999999995</v>
      </c>
      <c r="E128" s="4">
        <v>46270</v>
      </c>
      <c r="F128" s="4">
        <v>46254</v>
      </c>
      <c r="G128" s="1" t="s">
        <v>331</v>
      </c>
    </row>
    <row r="129" spans="1:7" x14ac:dyDescent="0.25">
      <c r="A129" s="1" t="s">
        <v>262</v>
      </c>
      <c r="B129" s="2" t="s">
        <v>263</v>
      </c>
      <c r="C129" s="3">
        <v>82.224999999999994</v>
      </c>
      <c r="D129" s="3">
        <f t="shared" si="5"/>
        <v>49.334999999999994</v>
      </c>
      <c r="E129" s="4">
        <v>46270</v>
      </c>
      <c r="F129" s="4">
        <v>46254</v>
      </c>
      <c r="G129" s="1" t="s">
        <v>331</v>
      </c>
    </row>
    <row r="130" spans="1:7" x14ac:dyDescent="0.25">
      <c r="A130" s="1" t="s">
        <v>264</v>
      </c>
      <c r="B130" s="2" t="s">
        <v>265</v>
      </c>
      <c r="C130" s="3">
        <v>103.73</v>
      </c>
      <c r="D130" s="3">
        <f t="shared" si="5"/>
        <v>62.238</v>
      </c>
      <c r="E130" s="4">
        <v>46270</v>
      </c>
      <c r="F130" s="4">
        <v>46254</v>
      </c>
      <c r="G130" s="1" t="s">
        <v>331</v>
      </c>
    </row>
    <row r="131" spans="1:7" x14ac:dyDescent="0.25">
      <c r="A131" s="1" t="s">
        <v>266</v>
      </c>
      <c r="B131" s="2" t="s">
        <v>267</v>
      </c>
      <c r="C131" s="3">
        <v>70.724999999999994</v>
      </c>
      <c r="D131" s="3">
        <f t="shared" si="5"/>
        <v>42.434999999999995</v>
      </c>
      <c r="E131" s="4">
        <v>46270</v>
      </c>
      <c r="F131" s="4">
        <v>46254</v>
      </c>
      <c r="G131" s="1" t="s">
        <v>331</v>
      </c>
    </row>
    <row r="132" spans="1:7" x14ac:dyDescent="0.25">
      <c r="A132" s="1" t="s">
        <v>268</v>
      </c>
      <c r="B132" s="2" t="s">
        <v>269</v>
      </c>
      <c r="C132" s="3">
        <v>70.724999999999994</v>
      </c>
      <c r="D132" s="3">
        <f t="shared" si="5"/>
        <v>42.434999999999995</v>
      </c>
      <c r="E132" s="4">
        <v>46270</v>
      </c>
      <c r="F132" s="4">
        <v>46254</v>
      </c>
      <c r="G132" s="1" t="s">
        <v>331</v>
      </c>
    </row>
    <row r="133" spans="1:7" x14ac:dyDescent="0.25">
      <c r="A133" s="1" t="s">
        <v>270</v>
      </c>
      <c r="B133" s="2" t="s">
        <v>271</v>
      </c>
      <c r="C133" s="3">
        <v>169.73999999999998</v>
      </c>
      <c r="D133" s="3">
        <f t="shared" si="5"/>
        <v>101.84399999999998</v>
      </c>
      <c r="E133" s="4">
        <v>46270</v>
      </c>
      <c r="F133" s="4">
        <v>46254</v>
      </c>
      <c r="G133" s="1" t="s">
        <v>331</v>
      </c>
    </row>
    <row r="134" spans="1:7" x14ac:dyDescent="0.25">
      <c r="A134" s="1" t="s">
        <v>272</v>
      </c>
      <c r="B134" s="2" t="s">
        <v>273</v>
      </c>
      <c r="C134" s="3">
        <v>117.3</v>
      </c>
      <c r="D134" s="3">
        <f t="shared" si="5"/>
        <v>70.38</v>
      </c>
      <c r="E134" s="4">
        <v>46270</v>
      </c>
      <c r="F134" s="4">
        <v>46254</v>
      </c>
      <c r="G134" s="1" t="s">
        <v>331</v>
      </c>
    </row>
    <row r="135" spans="1:7" x14ac:dyDescent="0.25">
      <c r="A135" s="1" t="s">
        <v>274</v>
      </c>
      <c r="B135" s="2" t="s">
        <v>275</v>
      </c>
      <c r="C135" s="3">
        <v>167.9</v>
      </c>
      <c r="D135" s="3">
        <f t="shared" si="5"/>
        <v>100.74</v>
      </c>
      <c r="E135" s="4">
        <v>46270</v>
      </c>
      <c r="F135" s="4">
        <v>46254</v>
      </c>
      <c r="G135" s="1" t="s">
        <v>331</v>
      </c>
    </row>
    <row r="136" spans="1:7" x14ac:dyDescent="0.25">
      <c r="A136" s="1" t="s">
        <v>276</v>
      </c>
      <c r="B136" s="2" t="s">
        <v>277</v>
      </c>
      <c r="C136" s="3">
        <v>117.875</v>
      </c>
      <c r="D136" s="3">
        <f t="shared" si="5"/>
        <v>70.724999999999994</v>
      </c>
      <c r="E136" s="4">
        <v>46270</v>
      </c>
      <c r="F136" s="4">
        <v>46254</v>
      </c>
      <c r="G136" s="1" t="s">
        <v>331</v>
      </c>
    </row>
    <row r="137" spans="1:7" x14ac:dyDescent="0.25">
      <c r="A137" s="1" t="s">
        <v>278</v>
      </c>
      <c r="B137" s="2" t="s">
        <v>279</v>
      </c>
      <c r="C137" s="3">
        <v>96.6</v>
      </c>
      <c r="D137" s="3">
        <f t="shared" si="5"/>
        <v>57.959999999999994</v>
      </c>
      <c r="E137" s="4">
        <v>46270</v>
      </c>
      <c r="F137" s="4">
        <v>46254</v>
      </c>
      <c r="G137" s="1" t="s">
        <v>331</v>
      </c>
    </row>
    <row r="138" spans="1:7" x14ac:dyDescent="0.25">
      <c r="A138" s="1" t="s">
        <v>280</v>
      </c>
      <c r="B138" s="2" t="s">
        <v>281</v>
      </c>
      <c r="C138" s="3">
        <v>70.724999999999994</v>
      </c>
      <c r="D138" s="3">
        <f t="shared" si="5"/>
        <v>42.434999999999995</v>
      </c>
      <c r="E138" s="4">
        <v>46270</v>
      </c>
      <c r="F138" s="4">
        <v>46254</v>
      </c>
      <c r="G138" s="1" t="s">
        <v>331</v>
      </c>
    </row>
    <row r="139" spans="1:7" x14ac:dyDescent="0.25">
      <c r="A139" s="1" t="s">
        <v>282</v>
      </c>
      <c r="B139" s="2" t="s">
        <v>283</v>
      </c>
      <c r="C139" s="3">
        <v>93.15</v>
      </c>
      <c r="D139" s="3">
        <f t="shared" si="5"/>
        <v>55.89</v>
      </c>
      <c r="E139" s="4">
        <v>46270</v>
      </c>
      <c r="F139" s="4">
        <v>46254</v>
      </c>
      <c r="G139" s="1" t="s">
        <v>331</v>
      </c>
    </row>
    <row r="140" spans="1:7" x14ac:dyDescent="0.25">
      <c r="A140" s="1" t="s">
        <v>284</v>
      </c>
      <c r="B140" s="2" t="s">
        <v>285</v>
      </c>
      <c r="C140" s="3">
        <v>113.85</v>
      </c>
      <c r="D140" s="3">
        <f t="shared" si="5"/>
        <v>68.309999999999988</v>
      </c>
      <c r="E140" s="4">
        <v>46270</v>
      </c>
      <c r="F140" s="4">
        <v>46254</v>
      </c>
      <c r="G140" s="1" t="s">
        <v>331</v>
      </c>
    </row>
    <row r="141" spans="1:7" x14ac:dyDescent="0.25">
      <c r="A141" s="1" t="s">
        <v>286</v>
      </c>
      <c r="B141" s="2" t="s">
        <v>287</v>
      </c>
      <c r="C141" s="3">
        <v>113.16000000000001</v>
      </c>
      <c r="D141" s="3">
        <f t="shared" si="5"/>
        <v>67.896000000000001</v>
      </c>
      <c r="E141" s="4">
        <v>46270</v>
      </c>
      <c r="F141" s="4">
        <v>46254</v>
      </c>
      <c r="G141" s="1" t="s">
        <v>331</v>
      </c>
    </row>
    <row r="142" spans="1:7" x14ac:dyDescent="0.25">
      <c r="A142" s="1" t="s">
        <v>288</v>
      </c>
      <c r="B142" s="2" t="s">
        <v>289</v>
      </c>
      <c r="C142" s="3">
        <v>77.325999999999993</v>
      </c>
      <c r="D142" s="3">
        <f t="shared" si="5"/>
        <v>46.395599999999995</v>
      </c>
      <c r="E142" s="4">
        <v>46270</v>
      </c>
      <c r="F142" s="4">
        <v>46254</v>
      </c>
      <c r="G142" s="1" t="s">
        <v>331</v>
      </c>
    </row>
    <row r="143" spans="1:7" x14ac:dyDescent="0.25">
      <c r="A143" s="1" t="s">
        <v>290</v>
      </c>
      <c r="B143" s="2" t="s">
        <v>291</v>
      </c>
      <c r="C143" s="3">
        <v>113.16000000000001</v>
      </c>
      <c r="D143" s="3">
        <f t="shared" si="5"/>
        <v>67.896000000000001</v>
      </c>
      <c r="E143" s="4">
        <v>46270</v>
      </c>
      <c r="F143" s="4">
        <v>46254</v>
      </c>
      <c r="G143" s="1" t="s">
        <v>331</v>
      </c>
    </row>
    <row r="144" spans="1:7" x14ac:dyDescent="0.25">
      <c r="A144" s="1" t="s">
        <v>292</v>
      </c>
      <c r="B144" s="2" t="s">
        <v>293</v>
      </c>
      <c r="C144" s="3">
        <v>85.214999999999989</v>
      </c>
      <c r="D144" s="3">
        <f t="shared" si="5"/>
        <v>51.128999999999991</v>
      </c>
      <c r="E144" s="4">
        <v>46270</v>
      </c>
      <c r="F144" s="4">
        <v>46254</v>
      </c>
      <c r="G144" s="1" t="s">
        <v>331</v>
      </c>
    </row>
    <row r="145" spans="1:7" x14ac:dyDescent="0.25">
      <c r="A145" s="1" t="s">
        <v>294</v>
      </c>
      <c r="B145" s="2" t="s">
        <v>295</v>
      </c>
      <c r="C145" s="3">
        <v>202.745</v>
      </c>
      <c r="D145" s="3">
        <f t="shared" si="5"/>
        <v>121.64699999999999</v>
      </c>
      <c r="E145" s="4">
        <v>46270</v>
      </c>
      <c r="F145" s="4">
        <v>46254</v>
      </c>
      <c r="G145" s="1" t="s">
        <v>331</v>
      </c>
    </row>
    <row r="146" spans="1:7" x14ac:dyDescent="0.25">
      <c r="A146" s="1" t="s">
        <v>296</v>
      </c>
      <c r="B146" s="2" t="s">
        <v>297</v>
      </c>
      <c r="C146" s="3">
        <v>193.315</v>
      </c>
      <c r="D146" s="3">
        <f t="shared" si="5"/>
        <v>115.98899999999999</v>
      </c>
      <c r="E146" s="4">
        <v>46270</v>
      </c>
      <c r="F146" s="4">
        <v>46254</v>
      </c>
      <c r="G146" s="1" t="s">
        <v>331</v>
      </c>
    </row>
    <row r="147" spans="1:7" x14ac:dyDescent="0.25">
      <c r="A147" s="1" t="s">
        <v>298</v>
      </c>
      <c r="B147" s="2" t="s">
        <v>299</v>
      </c>
      <c r="C147" s="3">
        <v>202.745</v>
      </c>
      <c r="D147" s="3">
        <f t="shared" si="5"/>
        <v>121.64699999999999</v>
      </c>
      <c r="E147" s="4">
        <v>46270</v>
      </c>
      <c r="F147" s="4">
        <v>46254</v>
      </c>
      <c r="G147" s="1" t="s">
        <v>331</v>
      </c>
    </row>
    <row r="148" spans="1:7" x14ac:dyDescent="0.25">
      <c r="A148" s="1" t="s">
        <v>300</v>
      </c>
      <c r="B148" s="2" t="s">
        <v>301</v>
      </c>
      <c r="C148" s="3">
        <v>154.1</v>
      </c>
      <c r="D148" s="3">
        <f t="shared" si="5"/>
        <v>92.46</v>
      </c>
      <c r="E148" s="4">
        <v>46270</v>
      </c>
      <c r="F148" s="4">
        <v>46254</v>
      </c>
      <c r="G148" s="1" t="s">
        <v>331</v>
      </c>
    </row>
    <row r="149" spans="1:7" x14ac:dyDescent="0.25">
      <c r="A149" s="1" t="s">
        <v>302</v>
      </c>
      <c r="B149" s="2" t="s">
        <v>303</v>
      </c>
      <c r="C149" s="3">
        <v>115</v>
      </c>
      <c r="D149" s="3">
        <f>C149*0.5</f>
        <v>57.5</v>
      </c>
      <c r="E149" s="4">
        <v>46270</v>
      </c>
      <c r="F149" s="4">
        <v>46254</v>
      </c>
      <c r="G149" s="1" t="s">
        <v>331</v>
      </c>
    </row>
    <row r="150" spans="1:7" x14ac:dyDescent="0.25">
      <c r="A150" s="1" t="s">
        <v>304</v>
      </c>
      <c r="B150" s="2" t="s">
        <v>305</v>
      </c>
      <c r="C150" s="3">
        <v>99.1875</v>
      </c>
      <c r="D150" s="3">
        <f t="shared" ref="D150:D161" si="6">C150*0.5</f>
        <v>49.59375</v>
      </c>
      <c r="E150" s="4">
        <v>46270</v>
      </c>
      <c r="F150" s="4">
        <v>46254</v>
      </c>
      <c r="G150" s="1" t="s">
        <v>331</v>
      </c>
    </row>
    <row r="151" spans="1:7" x14ac:dyDescent="0.25">
      <c r="A151" s="1" t="s">
        <v>306</v>
      </c>
      <c r="B151" s="2" t="s">
        <v>307</v>
      </c>
      <c r="C151" s="3">
        <v>132.25</v>
      </c>
      <c r="D151" s="3">
        <f t="shared" si="6"/>
        <v>66.125</v>
      </c>
      <c r="E151" s="4">
        <v>46270</v>
      </c>
      <c r="F151" s="4">
        <v>46254</v>
      </c>
      <c r="G151" s="1" t="s">
        <v>331</v>
      </c>
    </row>
    <row r="152" spans="1:7" x14ac:dyDescent="0.25">
      <c r="A152" s="1" t="s">
        <v>308</v>
      </c>
      <c r="B152" s="2" t="s">
        <v>309</v>
      </c>
      <c r="C152" s="3">
        <v>333.41950000000003</v>
      </c>
      <c r="D152" s="3">
        <f t="shared" si="6"/>
        <v>166.70975000000001</v>
      </c>
      <c r="E152" s="4">
        <v>46270</v>
      </c>
      <c r="F152" s="4">
        <v>46254</v>
      </c>
      <c r="G152" s="1" t="s">
        <v>331</v>
      </c>
    </row>
    <row r="153" spans="1:7" x14ac:dyDescent="0.25">
      <c r="A153" s="1" t="s">
        <v>310</v>
      </c>
      <c r="B153" s="2" t="s">
        <v>311</v>
      </c>
      <c r="C153" s="3">
        <v>320.79249999999996</v>
      </c>
      <c r="D153" s="3">
        <f t="shared" si="6"/>
        <v>160.39624999999998</v>
      </c>
      <c r="E153" s="4">
        <v>46270</v>
      </c>
      <c r="F153" s="4">
        <v>46254</v>
      </c>
      <c r="G153" s="1" t="s">
        <v>331</v>
      </c>
    </row>
    <row r="154" spans="1:7" x14ac:dyDescent="0.25">
      <c r="A154" s="1" t="s">
        <v>312</v>
      </c>
      <c r="B154" s="2" t="s">
        <v>313</v>
      </c>
      <c r="C154" s="3">
        <v>460</v>
      </c>
      <c r="D154" s="3">
        <f t="shared" si="6"/>
        <v>230</v>
      </c>
      <c r="E154" s="4">
        <v>46270</v>
      </c>
      <c r="F154" s="4">
        <v>46254</v>
      </c>
      <c r="G154" s="1" t="s">
        <v>331</v>
      </c>
    </row>
    <row r="155" spans="1:7" x14ac:dyDescent="0.25">
      <c r="A155" s="1" t="s">
        <v>314</v>
      </c>
      <c r="B155" s="2" t="s">
        <v>315</v>
      </c>
      <c r="C155" s="3">
        <v>460</v>
      </c>
      <c r="D155" s="3">
        <f t="shared" si="6"/>
        <v>230</v>
      </c>
      <c r="E155" s="4">
        <v>46270</v>
      </c>
      <c r="F155" s="4">
        <v>46254</v>
      </c>
      <c r="G155" s="1" t="s">
        <v>331</v>
      </c>
    </row>
    <row r="156" spans="1:7" x14ac:dyDescent="0.25">
      <c r="A156" s="1" t="s">
        <v>316</v>
      </c>
      <c r="B156" s="2" t="s">
        <v>317</v>
      </c>
      <c r="C156" s="3">
        <v>516.35</v>
      </c>
      <c r="D156" s="3">
        <f t="shared" si="6"/>
        <v>258.17500000000001</v>
      </c>
      <c r="E156" s="4">
        <v>46270</v>
      </c>
      <c r="F156" s="4">
        <v>46254</v>
      </c>
      <c r="G156" s="1" t="s">
        <v>331</v>
      </c>
    </row>
    <row r="157" spans="1:7" x14ac:dyDescent="0.25">
      <c r="A157" s="1" t="s">
        <v>318</v>
      </c>
      <c r="B157" s="2" t="s">
        <v>319</v>
      </c>
      <c r="C157" s="2">
        <v>113.16000000000001</v>
      </c>
      <c r="D157" s="3">
        <f t="shared" si="6"/>
        <v>56.580000000000005</v>
      </c>
      <c r="E157" s="4">
        <v>46270</v>
      </c>
      <c r="F157" s="4">
        <v>46254</v>
      </c>
      <c r="G157" s="1" t="s">
        <v>331</v>
      </c>
    </row>
    <row r="158" spans="1:7" x14ac:dyDescent="0.25">
      <c r="A158" s="1" t="s">
        <v>320</v>
      </c>
      <c r="B158" s="2" t="s">
        <v>321</v>
      </c>
      <c r="C158" s="2">
        <v>113.16000000000001</v>
      </c>
      <c r="D158" s="3">
        <f t="shared" si="6"/>
        <v>56.580000000000005</v>
      </c>
      <c r="E158" s="4">
        <v>46270</v>
      </c>
      <c r="F158" s="4">
        <v>46254</v>
      </c>
      <c r="G158" s="1" t="s">
        <v>331</v>
      </c>
    </row>
    <row r="159" spans="1:7" x14ac:dyDescent="0.25">
      <c r="A159" s="1" t="s">
        <v>322</v>
      </c>
      <c r="B159" s="2" t="s">
        <v>323</v>
      </c>
      <c r="C159" s="2">
        <v>112.125</v>
      </c>
      <c r="D159" s="3">
        <f t="shared" si="6"/>
        <v>56.0625</v>
      </c>
      <c r="E159" s="4">
        <v>46270</v>
      </c>
      <c r="F159" s="4">
        <v>46254</v>
      </c>
      <c r="G159" s="1" t="s">
        <v>331</v>
      </c>
    </row>
    <row r="160" spans="1:7" x14ac:dyDescent="0.25">
      <c r="A160" s="1" t="s">
        <v>324</v>
      </c>
      <c r="B160" s="2" t="s">
        <v>325</v>
      </c>
      <c r="C160" s="2">
        <v>108.1</v>
      </c>
      <c r="D160" s="3">
        <f t="shared" si="6"/>
        <v>54.05</v>
      </c>
      <c r="E160" s="4">
        <v>46270</v>
      </c>
      <c r="F160" s="4">
        <v>46254</v>
      </c>
      <c r="G160" s="1" t="s">
        <v>331</v>
      </c>
    </row>
    <row r="161" spans="1:7" x14ac:dyDescent="0.25">
      <c r="A161" s="1" t="s">
        <v>326</v>
      </c>
      <c r="B161" s="2" t="s">
        <v>327</v>
      </c>
      <c r="C161" s="2">
        <v>121.9</v>
      </c>
      <c r="D161" s="3">
        <f t="shared" si="6"/>
        <v>60.95</v>
      </c>
      <c r="E161" s="4">
        <v>46270</v>
      </c>
      <c r="F161" s="4">
        <v>46254</v>
      </c>
      <c r="G161" s="1" t="s">
        <v>331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2026-08-19T15:24:22Z</dcterms:modified>
</cp:coreProperties>
</file>